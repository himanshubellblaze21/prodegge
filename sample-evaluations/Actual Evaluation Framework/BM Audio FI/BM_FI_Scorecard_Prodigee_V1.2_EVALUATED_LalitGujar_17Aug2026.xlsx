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itg\Desktop\Actual Evaluation Framework\BM Audio FI\"/>
    </mc:Choice>
  </mc:AlternateContent>
  <xr:revisionPtr revIDLastSave="0" documentId="8_{7DE5D9E6-3767-4904-A595-5535C55E84FB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Read Me" sheetId="1" r:id="rId1"/>
    <sheet name="Scorecard" sheetId="2" r:id="rId2"/>
    <sheet name="Call Summary" sheetId="3" r:id="rId3"/>
    <sheet name="Gap &amp; Coaching Report" sheetId="4" r:id="rId4"/>
    <sheet name="Reference List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3" l="1"/>
  <c r="E45" i="3"/>
  <c r="E44" i="3"/>
  <c r="D43" i="3"/>
  <c r="E23" i="3"/>
  <c r="G8" i="3"/>
  <c r="C8" i="3"/>
  <c r="C7" i="3"/>
  <c r="C6" i="3"/>
  <c r="C5" i="3"/>
  <c r="C4" i="3"/>
  <c r="E62" i="2"/>
  <c r="D49" i="2"/>
  <c r="D48" i="2"/>
  <c r="D47" i="2"/>
  <c r="D46" i="2"/>
  <c r="D45" i="2"/>
  <c r="D44" i="2"/>
  <c r="D43" i="2"/>
  <c r="H39" i="2"/>
  <c r="H38" i="2"/>
  <c r="H37" i="2"/>
  <c r="E49" i="2" s="1"/>
  <c r="H35" i="2"/>
  <c r="H34" i="2"/>
  <c r="E48" i="2" s="1"/>
  <c r="H32" i="2"/>
  <c r="H31" i="2"/>
  <c r="H30" i="2"/>
  <c r="E47" i="2" s="1"/>
  <c r="H28" i="2"/>
  <c r="H27" i="2"/>
  <c r="H26" i="2"/>
  <c r="H25" i="2"/>
  <c r="E46" i="2" s="1"/>
  <c r="H23" i="2"/>
  <c r="H22" i="2"/>
  <c r="H21" i="2"/>
  <c r="E45" i="2" s="1"/>
  <c r="H19" i="2"/>
  <c r="H18" i="2"/>
  <c r="H17" i="2"/>
  <c r="H16" i="2"/>
  <c r="E44" i="2" s="1"/>
  <c r="H14" i="2"/>
  <c r="H13" i="2"/>
  <c r="H12" i="2"/>
  <c r="H11" i="2"/>
  <c r="E43" i="2" s="1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C40" i="4" s="1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E64" i="2" l="1"/>
  <c r="G7" i="3" s="1"/>
  <c r="G6" i="3"/>
  <c r="E61" i="2"/>
  <c r="F49" i="2"/>
  <c r="F46" i="2"/>
  <c r="F45" i="2"/>
  <c r="F48" i="2"/>
  <c r="F47" i="2"/>
  <c r="F44" i="2"/>
  <c r="F43" i="2"/>
  <c r="C4" i="4" l="1"/>
  <c r="G4" i="3"/>
  <c r="E63" i="2"/>
  <c r="G5" i="3" s="1"/>
  <c r="C5" i="4"/>
</calcChain>
</file>

<file path=xl/sharedStrings.xml><?xml version="1.0" encoding="utf-8"?>
<sst xmlns="http://schemas.openxmlformats.org/spreadsheetml/2006/main" count="431" uniqueCount="370">
  <si>
    <t>GAP &amp; COACHING REPORT — what was missed in this FI (auto-generated from the Scorecard ratings)</t>
  </si>
  <si>
    <t>Fill the Coverage column on the Scorecard — every None/Partial item appears below with the exact question to ask next time. Clear list = 100. Target: 90+ on every FI.</t>
  </si>
  <si>
    <t>SCORE</t>
  </si>
  <si>
    <t>Total score (from Scorecard)</t>
  </si>
  <si>
    <t>Points still needed to reach 90+ (A-band, model FI)</t>
  </si>
  <si>
    <t>GATES</t>
  </si>
  <si>
    <t>Knock-out gates failed (each one alone makes the FI INVALID — re-conduct)</t>
  </si>
  <si>
    <t>Result</t>
  </si>
  <si>
    <t>ITEM</t>
  </si>
  <si>
    <t>WHAT WAS MISSED OR LEFT INCOMPLETE — cover this next time</t>
  </si>
  <si>
    <t>Points lost</t>
  </si>
  <si>
    <t>TOTAL POINTS LOST to missed / incomplete items</t>
  </si>
  <si>
    <t>PRODIGEE FINANCE LIMITED — BM AUDIO/VIDEO FI · SUCCESS CRITERIA SCORECARD V1.0</t>
  </si>
  <si>
    <t>Aligned to LAP Credit Policy V2.3 · Companion to BM_FI_Success_Criteria_Framework_V1.docx · The FI is a 10–15 minute genuineness &amp; right-file check — NOT a PD.</t>
  </si>
  <si>
    <t>HOW TO USE</t>
  </si>
  <si>
    <t>1. Open the 'Scorecard' sheet. Fill ONLY the yellow cells: header details, Coverage (Full / Partial / None / N/A) and gate Results (PASS/FAIL).</t>
  </si>
  <si>
    <t>2. Coverage: Full = completely covered and checked against the application form / BPS output in hand · Partial = touched but not probed/confirmed · None = not covered · N/A = not applicable (points leave the denominator).</t>
  </si>
  <si>
    <t>3. Score, subtotals, band and verdict calculate automatically. Minimum pass: Score ≥ 75 AND all 7 gates PASS AND no open red flag.</t>
  </si>
  <si>
    <t>4. The 'Gap &amp; Coaching Report' sheet fills itself — every missed/incomplete item with the exact question to ask next time. Clear list = 100. Target 90+.</t>
  </si>
  <si>
    <t>5. The BM's FORWARD/REJECT decision is separate from the score — a well-reasoned REJECT on a weak file is a successful FI.</t>
  </si>
  <si>
    <t>6. NEW — 'Call Summary' sheet: a one-page management digest of the FI call under three heads — Genuineness &amp; Customer Awareness, Sourcing &amp; Channel Integrity, and Prima Facie Eligibility (income vs policy gates, bureau, collateral) — plus red flags and the BM decision, so management reads the summary instead of hearing the recording. Header, totals, policy-gate checks and verdict fill automatically from the Scorecard.</t>
  </si>
  <si>
    <t>BM AUDIO/VIDEO FI — SUCCESS CRITERIA SCORECARD (V1.0) · Business Loan Against Property</t>
  </si>
  <si>
    <t>Application ID</t>
  </si>
  <si>
    <t>Not provided (application form not shared with evaluator)</t>
  </si>
  <si>
    <t>Evaluator (AI Agent / Reviewer)</t>
  </si>
  <si>
    <t>Claude (AI Evaluation Agent) for Atanu Pandey — 19-Aug-2026</t>
  </si>
  <si>
    <t>Customer Name</t>
  </si>
  <si>
    <t>Not clearly captured on audio (male borrower; dairy/milk-aggregation business, village near Biaora/Bhyavra)</t>
  </si>
  <si>
    <t>BM Name</t>
  </si>
  <si>
    <t>Lalit Gujar (self-introduced ~0:05, Prodigee Finance branch, Bhyavra/Biaora)</t>
  </si>
  <si>
    <t>Date of FI Call</t>
  </si>
  <si>
    <t>17-Aug-2026 (from recording file metadata)</t>
  </si>
  <si>
    <t>Recording Duration (min)</t>
  </si>
  <si>
    <t>Loan Amount (Rs.)</t>
  </si>
  <si>
    <t>800,000 (as stated by customer ~4:45; application amount not provided)</t>
  </si>
  <si>
    <t>ID</t>
  </si>
  <si>
    <t>Success Criterion</t>
  </si>
  <si>
    <t>What the BM must ask / verify (sample probe)</t>
  </si>
  <si>
    <t>Reference</t>
  </si>
  <si>
    <t>Critical</t>
  </si>
  <si>
    <t>Max Pts</t>
  </si>
  <si>
    <t>Coverage</t>
  </si>
  <si>
    <t>Pts Scored</t>
  </si>
  <si>
    <t>Remarks / evidence (timestamp)</t>
  </si>
  <si>
    <t>SECTION A — CALL OPENING, IDENTITY &amp; CONSENT   (window 0:00–1:30)</t>
  </si>
  <si>
    <t>A1</t>
  </si>
  <si>
    <t>Recording/video disclosure made at the start of the call</t>
  </si>
  <si>
    <t>“Yeh call/video recording par hai, aapke loan verification ke liye.” — within the first 60 seconds.</t>
  </si>
  <si>
    <t>RBI Fair Practices; Gate K3</t>
  </si>
  <si>
    <t>YES</t>
  </si>
  <si>
    <t>None</t>
  </si>
  <si>
    <t>No recording/consent disclosure heard anywhere in 0:00–1:00 opening (checked on two independent ASR passes). Opening is greeting + self-intro only (0:00–0:25).</t>
  </si>
  <si>
    <t>A2</t>
  </si>
  <si>
    <t>Speaking to the MAIN BORROWER — video face verification</t>
  </si>
  <si>
    <t>“Aap khud [poora naam] bol rahe hain? Yeh number aapka hi hai?” On video: face clearly visible and matching the KYC photo.</t>
  </si>
  <si>
    <t>Application form; Gate K2</t>
  </si>
  <si>
    <t>Partial</t>
  </si>
  <si>
    <t>AUDIO-only call — no video/face-match possible. BM speaks directly to the borrower who answers own-file details (dairy, loans, property), but explicit name/self confirmation not heard (0:00–0:56).</t>
  </si>
  <si>
    <t>A3</t>
  </si>
  <si>
    <t>Application awareness confirmed</t>
  </si>
  <si>
    <t>“Aapne Prodigee Finance mein loan ke liye file lagayi hai?” — unaware = FI-RF-1 (possible fraud).</t>
  </si>
  <si>
    <t>FI-RF-1</t>
  </si>
  <si>
    <t>Full</t>
  </si>
  <si>
    <t>0:05–0:25 — 'Aapne file lagayi thi... Prodigee Finance mein?' — customer confirms application and knows the company; also names whom he gave the file to (0:26–0:52).</t>
  </si>
  <si>
    <t>A4</t>
  </si>
  <si>
    <t>Language comfort, audio &amp; video quality</t>
  </si>
  <si>
    <t>Customer's language; confirm they can hear/see and understand; no repeated breakdowns.</t>
  </si>
  <si>
    <t>Call quality</t>
  </si>
  <si>
    <t>—</t>
  </si>
  <si>
    <t>Call held in customer's own dialect-Hindi; conversation flows end-to-end without language/volume breakdowns. (Recording itself is audible; quality issues scored under G1.)</t>
  </si>
  <si>
    <t>SECTION B — SOURCING &amp; CHANNEL INTEGRITY   (window 1:30–3:00)</t>
  </si>
  <si>
    <t>B1</t>
  </si>
  <si>
    <t>RM visit verified — who sourced and visited</t>
  </si>
  <si>
    <t>“Aap tak yeh loan kaise pahuncha? Prodigee se kaun aaya tha — naam? Kya woh aapke kaam ki jagah / ghar aaye the?” RM never visited = FI-RF-8.</t>
  </si>
  <si>
    <t>PRAGATI sourcing record; FI-RF-8</t>
  </si>
  <si>
    <t>0:26–1:00 — file given to 'Arjun' (Prodigee staff/RM), known to customer ~2 years. BM did NOT ask whether the RM actually visited the home/work premises.</t>
  </si>
  <si>
    <t>B2</t>
  </si>
  <si>
    <t>Agent / broker / DSA involvement probed</t>
  </si>
  <si>
    <t>“Beech mein koi agent, broker, DSA, connector ya sales agent hai? Kisi ne file lagwane mein madad ki — kaun?” — undisclosed middleman = FI-RF-3 / Gate K6.</t>
  </si>
  <si>
    <t>Gate K6; FI-RF-3</t>
  </si>
  <si>
    <t>No agent/broker/DSA/connector question asked at any point on the recording.</t>
  </si>
  <si>
    <t>B3</t>
  </si>
  <si>
    <t>Zero-commission integrity check</t>
  </si>
  <si>
    <t>“Kya kisi ne is loan ke liye aapse commission, fees ya paisa manga hai? Prodigee mein ZERO COMMISSION policy hai.” PLUS login fee: “Login fee kisne collect ki — Prodigee ke RM ne hi? Kitni di? Receipt mili?” — fee collected by anyone other than the RM = FI-RF-4. Demand = FI-RF-4 (STOP — CCRO).</t>
  </si>
  <si>
    <t>Zero Commission Policy; FI-RF-4</t>
  </si>
  <si>
    <t>No zero-commission question and no login-fee (who collected/how much/receipt) check anywhere on the call.</t>
  </si>
  <si>
    <t>B4</t>
  </si>
  <si>
    <t>Sourcing story consistent with PRAGATI</t>
  </si>
  <si>
    <t>Customer's account (walk-in / reference / RM outreach) matches the sourcing channel recorded on PRAGATI.</t>
  </si>
  <si>
    <t>PRAGATI record</t>
  </si>
  <si>
    <t>Sourcing story elicited (via Arjun, 2-year acquaintance ~0:26–1:00) but PRAGATI record not available to evaluator — consistency unverified.</t>
  </si>
  <si>
    <t>SECTION C — PRODUCT &amp; LOAN UNDERSTANDING   (window 3:00–4:30)</t>
  </si>
  <si>
    <t>C1</t>
  </si>
  <si>
    <t>Knows it is a BUSINESS Loan Against Property — mortgage</t>
  </si>
  <si>
    <t>“Aapko pata hai yeh BUSINESS loan hai jis mein aapki property girvi (mortgage) rakhi jayegi?” — explicit yes.</t>
  </si>
  <si>
    <t>Policy F.1; Gate K4</t>
  </si>
  <si>
    <t>Property-backed loan is discussed (registry/sale-deed probing 6:32–7:15) but the explicit 'BUSINESS loan, property girvi/mortgage hogi' confirmation was never put to the customer.</t>
  </si>
  <si>
    <t>C2</t>
  </si>
  <si>
    <t>Loan amount stated by the customer</t>
  </si>
  <si>
    <t>“Kitne amount ki file lagayi hai?” — customer states; BM must NOT lead. ±10% of application; larger gap = FI-RF-2. THEN explain the cost through EMI, not ROI%: “Agar [amount] ka loan [tenure] ke liye hota hai to andaazan EMI ₹[figure] banegi” — rural customers understand EMI for an amount and tenure better than an interest rate; state it as indicative.</t>
  </si>
  <si>
    <t>Application form; Gate K5</t>
  </si>
  <si>
    <t>~4:44 BM asks requirement; customer states '8 (lakh) ke aas-paas' unprompted — good. But indicative EMI for amount/tenure never explained. Application amount unavailable for the ±10% check.</t>
  </si>
  <si>
    <t>C3</t>
  </si>
  <si>
    <t>End use understood in brief</t>
  </si>
  <si>
    <t>“Loan ka paisa kis kaam mein lagega?” — business-linked and not restricted.</t>
  </si>
  <si>
    <t>Policy B.3</t>
  </si>
  <si>
    <t>~4:50 'Aath lakh ka kya karoge?' — customer: expand/open dairy work (business-linked). CAUTION: if funds buy milch animals this falls on the restricted end-use list — not probed.</t>
  </si>
  <si>
    <t>SECTION D — INCOME SUFFICIENCY vs CREDIT POLICY   (window 4:30–7:30)</t>
  </si>
  <si>
    <t>D1</t>
  </si>
  <si>
    <t>Main business/occupation and vintage — in brief</t>
  </si>
  <si>
    <t>“Aap kya kaam karte hain? Kaise chalta hai? Kitne saal se?” — vintage ≥ 1 year; occupation not on the negative list.</t>
  </si>
  <si>
    <t>Policy B.9 / Part J.1 / Part M</t>
  </si>
  <si>
    <t>1:00–4:40 — occupation probed concretely: milk aggregation ~105 L/day bought in village + ~15 L own (5 buffaloes), sold to Krishna Milk Dairy at ~Rs.51/L, margin Rs.3/L + bonus, cash settlement; brother also in dairy; time-in-business asked (~4:55).</t>
  </si>
  <si>
    <t>D2</t>
  </si>
  <si>
    <t>Income tested against policy gates</t>
  </si>
  <si>
    <t>“Ghar ki kul mahine ki aamdani kitni? Aap khud kitna kama lete hain?” — household ≥ ₹30,000 (without agri); one earner ≥ ₹15,000. Below gates = FI-RF-5 → reject at BM stage.</t>
  </si>
  <si>
    <t>Policy C.1/C.2; FI-RF-5</t>
  </si>
  <si>
    <t>BM works the arithmetic with the customer (3:13–4:40: 105 L x Rs.3 + own-milk sale) but never elicits a monthly HOUSEHOLD figure nor tests the Rs.30,000/Rs.15,000 policy gates. Derived gross ~Rs.30–33k/month — BORDERLINE; re-verify.</t>
  </si>
  <si>
    <t>D3</t>
  </si>
  <si>
    <t>Other income streams identified in brief (incl. agriculture)</t>
  </si>
  <si>
    <t>“Aur koi aamdani — kheti, kiraya, dairy, naukri? Kheti hai to kiske naam, kitne acre?” — identify every stream; any income source the RM did NOT capture on PRAGATI must be noted for the file; depth is for BCM/RCM.</t>
  </si>
  <si>
    <t>Policy C.4–C.8</t>
  </si>
  <si>
    <t>2:03–2:26 — land asked: how much, whose name (father's); buffaloes counted (5); brother's dairy work noted (2:20–2:48). Streams identified with owners.</t>
  </si>
  <si>
    <t>D4</t>
  </si>
  <si>
    <t>BM's sufficiency view formed</t>
  </si>
  <si>
    <t>Is the income from ALL sources prima facie sufficient to make the customer eligible for the Prodigee LAP loan sought, per Credit Policy? BM states a view on record.</t>
  </si>
  <si>
    <t>Credit Policy C.2</t>
  </si>
  <si>
    <t>BM audibly computes daily saving with the customer (3:35–4:40) — an implicit sufficiency exercise — but states no on-record view that income supports the Rs.8-lakh LAP.</t>
  </si>
  <si>
    <t>SECTION E — CREDIT BEHAVIOUR vs BPS / BUREAU   (window 7:30–9:00)</t>
  </si>
  <si>
    <t>E1</t>
  </si>
  <si>
    <t>Running loans acknowledged vs BPS/bureau</t>
  </si>
  <si>
    <t>With the BPS output in front: “Abhi kaun-kaun se loan chal rahe hain, kitni EMI?” — reconcile with running-loan types in BPS.</t>
  </si>
  <si>
    <t>BPS output; FI-RF-6</t>
  </si>
  <si>
    <t>5:32–6:40 — existing loan ~Rs.3 lakh acknowledged (on the house sold last year; ~Rs.2–2.5 lakh to be cleared from sale proceeds); 'bas aur nahin hai koi loan' (6:41). EMI figure not elicited; BPS output not provided to evaluator for reconciliation.</t>
  </si>
  <si>
    <t>E2</t>
  </si>
  <si>
    <t>Overdues / bounces confronted</t>
  </si>
  <si>
    <t>Every overdue/bounce on the BPS put to the customer; explanation recorded. Unexplained/denied = FI-RF-6.</t>
  </si>
  <si>
    <t>BPS output; Policy D.1</t>
  </si>
  <si>
    <t>N/A</t>
  </si>
  <si>
    <t>BPS output not provided to the evaluator and no overdue/bounce was put to the customer on the call — cannot assess. If BPS shows overdues, this item must be treated as MISSED.</t>
  </si>
  <si>
    <t>E3</t>
  </si>
  <si>
    <t>Other bureau red flags clarified</t>
  </si>
  <si>
    <t>Recent enquiries, settlement history, high utilisation — one question each, response noted. PLUS: “Kya aapne yeh file kisi aur bank ya NBFC mein bhi lagayi hai abhi?” — file simultaneously with another lender must surface here.</t>
  </si>
  <si>
    <t>BPS output</t>
  </si>
  <si>
    <t>No bureau red-flag questions and the mandatory 'file kisi aur bank/NBFC mein bhi lagayi hai?' question was never asked.</t>
  </si>
  <si>
    <t>SECTION F — COLLATERAL — BRIEF CHECK   (window 9:00–10:00)</t>
  </si>
  <si>
    <t>F1</t>
  </si>
  <si>
    <t>Property type, owner and location — in brief</t>
  </si>
  <si>
    <t>“Kaun si property girvi hogi — ghar/dukaan/plot? Kahan? Kiske naam par hai?”</t>
  </si>
  <si>
    <t>Application form</t>
  </si>
  <si>
    <t>6:32–7:15 — property discussed: prior house (with running loan) sold last year; offered property probed for registry/sale-deed — but type/location/owner not pinned down clearly.</t>
  </si>
  <si>
    <t>F2</t>
  </si>
  <si>
    <t>Willingness to mortgage + lien-free in brief</t>
  </si>
  <si>
    <t>“Property girvi rakhne mein koi dikkat? Us par koi aur loan/vivaad to nahi?” — reluctance or charge = FI-RF-7.</t>
  </si>
  <si>
    <t>Policy F.1; FI-RF-7</t>
  </si>
  <si>
    <t>Customer says 'uski registry nahin hai sir' (~6:45) — title/registry concern surfaced (FI-RF-7) but willingness-to-mortgage never explicitly asked and the issue was not resolved or escalated on call.</t>
  </si>
  <si>
    <t>SECTION G — CALL CONDUCT &amp; BM DECISION   (throughout + close)</t>
  </si>
  <si>
    <t>G1</t>
  </si>
  <si>
    <t>Duration and quality (10–15 minutes)</t>
  </si>
  <si>
    <t>≥ 10 min mandatory; ≤ 15; both sides audible/visible end-to-end; ≥90% intelligible.</t>
  </si>
  <si>
    <t>Gate K1</t>
  </si>
  <si>
    <t>Recording is 8 min 29 sec — below the MANDATORY 10-minute minimum (Gate K1). Audio intelligible but phone quality is rough in patches.</t>
  </si>
  <si>
    <t>G2</t>
  </si>
  <si>
    <t>Open, non-leading questioning</t>
  </si>
  <si>
    <t>Amount, income, sourcing, obligations elicited openly; customer speaks first; no coaching.</t>
  </si>
  <si>
    <t>Gate K7</t>
  </si>
  <si>
    <t>Amount (4:44), income (1:13–4:40), sourcing (0:26) and obligations (5:32) all elicited with open questions; customer speaks first; no third-party prompting audible; BM's arithmetic uses customer's own figures conservatively.</t>
  </si>
  <si>
    <t>G3</t>
  </si>
  <si>
    <t>Clear BM decision recorded with reason</t>
  </si>
  <si>
    <t>FORWARD to CPA or REJECT at BM stage — with the specific reason. A well-reasoned rejection scores Full. On FORWARD, close by telling the customer the next steps: “Ab aapki file Credit Team ke paas jayegi — aapko Credit Department se call aayega, uske baad aapke business aur ghar ka visit hoga.”</t>
  </si>
  <si>
    <t>Process requirement</t>
  </si>
  <si>
    <t>Call ends abruptly ~8:16–8:29 with no FORWARD/REJECT decision, no reason, and no next-steps script (Credit call, business &amp; home visit) to the customer.</t>
  </si>
  <si>
    <t>SECTION SUBTOTALS</t>
  </si>
  <si>
    <t>Section</t>
  </si>
  <si>
    <t>Applicable Pts</t>
  </si>
  <si>
    <t>Scored</t>
  </si>
  <si>
    <t>Coverage %</t>
  </si>
  <si>
    <t>A — Opening, Identity &amp; Consent</t>
  </si>
  <si>
    <t>B — Sourcing &amp; Channel Integrity</t>
  </si>
  <si>
    <t>C — Product &amp; Loan Understanding</t>
  </si>
  <si>
    <t>D — Income Sufficiency (vs Credit Policy)</t>
  </si>
  <si>
    <t>E — Credit Behaviour (vs BPS/Bureau)</t>
  </si>
  <si>
    <t>F — Collateral — Brief Check</t>
  </si>
  <si>
    <t>G — Call Conduct &amp; BM Decision</t>
  </si>
  <si>
    <t>KNOCK-OUT GATES (any FAIL ⇒ FI INVALID)</t>
  </si>
  <si>
    <t>Gate</t>
  </si>
  <si>
    <t>Requirement</t>
  </si>
  <si>
    <t>Result (PASS/FAIL)</t>
  </si>
  <si>
    <t>K1</t>
  </si>
  <si>
    <t>Valid recording exists — audible/visible both sides, materially complete, duration ≥ 10 minutes (MANDATORY) and not beyond 15 (target 10–12).</t>
  </si>
  <si>
    <t>FAIL</t>
  </si>
  <si>
    <t>K2</t>
  </si>
  <si>
    <t>The BM spoke to the MAIN BORROWER himself/herself — on video, face matches the KYC photograph; not a relative, agent, broker, DSA or impersonator.</t>
  </si>
  <si>
    <t>PASS</t>
  </si>
  <si>
    <t>K3</t>
  </si>
  <si>
    <t>Recording/video disclosure was made to the customer at the start of the call.</t>
  </si>
  <si>
    <t>K4</t>
  </si>
  <si>
    <t>Customer clearly understands this is a BUSINESS Loan Against Property — property will be MORTGAGED.</t>
  </si>
  <si>
    <t>K5</t>
  </si>
  <si>
    <t>Customer is aware of the loan amount applied (±10% of application, without being fed the figure).</t>
  </si>
  <si>
    <t>K6</t>
  </si>
  <si>
    <t>No concealed middleman — no agent/broker/DSA involvement, and no commission demanded by anyone (Zero Commission Policy).</t>
  </si>
  <si>
    <t>K7</t>
  </si>
  <si>
    <t>No mis-selling and no coaching — no false promises, no misquoted terms, no third party prompting answers.</t>
  </si>
  <si>
    <t>TOTAL SCORE (normalised to 100)</t>
  </si>
  <si>
    <t>KNOCK-OUT STATUS</t>
  </si>
  <si>
    <t>GRADE BAND</t>
  </si>
  <si>
    <t>FINAL VERDICT</t>
  </si>
  <si>
    <t>BM AUDIO/VIDEO FI — CALL SUMMARY FOR MANAGEMENT · Business Loan Against Property</t>
  </si>
  <si>
    <t>One-page digest of the FI call, filled by the Evaluator (AI Agent / Reviewer) so management need not hear the recording. The FI is a 10–15 minute genuineness &amp; right-file check — NOT a PD — so this summary answers three management questions: Is the customer and file GENUINE? Is the sourcing CHANNEL clean? Is the file PRIMA FACIE eligible to go forward? Fill ONLY the yellow cells; checks, totals, score and verdict fill automatically. Every answer must come from what was actually SAID on the call — quote the timestamp; not asked/answered = write "Not covered".</t>
  </si>
  <si>
    <t>Score (/100)</t>
  </si>
  <si>
    <t>Grade Band</t>
  </si>
  <si>
    <t>Knock-Out Status</t>
  </si>
  <si>
    <t>Final Verdict</t>
  </si>
  <si>
    <t>Auto-filled from the Scorecard sheet — do not type here. Grey cells show the evaluation outcome for this same FI call.</t>
  </si>
  <si>
    <t>CALL IN BRIEF — EXECUTIVE GIST (3–5 lines)</t>
  </si>
  <si>
    <t>Who the customer is · what he/she does · loan sought and purpose · how the file was sourced · what the FI established on genuineness, channel and eligibility · the BM's decision (FORWARD / REJECT) and why.</t>
  </si>
  <si>
    <t>Male borrower (name not clearly audible) from a village near Bhyavra/Biaora runs a milk-aggregation business — buys ~105 L/day in the village, adds ~15 L own milk from 5 buffaloes, and sells ~120 L to Krishna Milk Dairy at ~Rs.51/L for a Rs.3/L margin plus bonus, settled in cash. He seeks ~Rs.8 lakh (stated unprompted, ~4:45) to expand the dairy business; file sourced through 'Arjun' (Prodigee staff/RM) whom he has known ~2 years. One existing loan of ~Rs.3 lakh sits against a house he sold last year — he plans to close it from sale proceeds. The customer looks GENUINE, but the FI itself is INVALID: 8m29s (&lt; 10-min mandatory), no recording disclosure, mortgage understanding never confirmed, agent/commission probes skipped, and the call ends with no BM decision. Property title is a live concern — customer says the offered property's registry is not available (~6:45).</t>
  </si>
  <si>
    <t>HEAD 1 — GENUINENESS &amp; CUSTOMER AWARENESS (is this a real customer who really applied?)</t>
  </si>
  <si>
    <t>Spoke to MAIN BORROWER on video — face matches KYC photo? (YES / NO + timestamp)</t>
  </si>
  <si>
    <t>NO video — AUDIO-only recording; face-match vs KYC impossible. Voice/context indicates the main borrower himself (answers own file, business and loan details). Timestamp: throughout.</t>
  </si>
  <si>
    <t>Recording/video disclosure made at the start? (YES / NO)</t>
  </si>
  <si>
    <t>NO — no disclosure heard in the opening (0:00–1:00; verified on two ASR passes).</t>
  </si>
  <si>
    <t>Customer AWARE the application exists with Prodigee? (YES / NO → FI-RF-1 fraud referral)</t>
  </si>
  <si>
    <t>YES — confirms file with Prodigee Finance and names recipient 'Arjun' (0:05–0:52).</t>
  </si>
  <si>
    <t>Understands it is a BUSINESS loan with property MORTGAGED? (YES / NO — Gate K4)</t>
  </si>
  <si>
    <t>NO — property-backed loan discussed (6:32–7:15) but 'business loan + property MORTGAGED' never explicitly confirmed — Gate K4 not demonstrated.</t>
  </si>
  <si>
    <t>Loan amount STATED by customer (Rs.) — unprompted</t>
  </si>
  <si>
    <t>Loan amount as per application (Rs.)</t>
  </si>
  <si>
    <t>End use stated by customer (business-linked? not restricted?)</t>
  </si>
  <si>
    <t>Expand/open dairy business (~4:50) — business-linked. Caution: end use touching milch-animal purchase is on the restricted list — was not probed.</t>
  </si>
  <si>
    <t>GENUINENESS VERDICT (GENUINE / DOUBTFUL / FRAUD SUSPECT) + why</t>
  </si>
  <si>
    <t>GENUINE (provisional) — aware of application, names the sourcing person, gives consistent granular business detail; no impersonation signs. Process gates failed, so re-conduct FI to certify.</t>
  </si>
  <si>
    <t>HEAD 2 — SOURCING &amp; CHANNEL INTEGRITY (how did this file reach Prodigee?)</t>
  </si>
  <si>
    <t>How the loan reached the customer — RM name per customer; did the RM visit? (NO → FI-RF-8)</t>
  </si>
  <si>
    <t>Sourced through 'Arjun' — Prodigee staff/RM, known to customer ~2 years (0:26–1:00). RM visit to home/work NOT verified on call.</t>
  </si>
  <si>
    <t>Agent / broker / DSA / connector involved? (NONE / name &amp; role → FI-RF-3, Gate K6)</t>
  </si>
  <si>
    <t>NOT PROBED — no agent/broker/DSA question asked. Nothing adverse surfaced spontaneously.</t>
  </si>
  <si>
    <t>Commission, fees or money demanded by anyone? (NO / details → FI-RF-4 — STOP, CCRO)</t>
  </si>
  <si>
    <t>NOT PROBED — zero-commission question never asked.</t>
  </si>
  <si>
    <t>Login fee — collected by whom, how much, receipt given? (non-RM collection → FI-RF-4)</t>
  </si>
  <si>
    <t>NOT PROBED — login-fee collection/receipt never asked.</t>
  </si>
  <si>
    <t>Sourcing story matches PRAGATI record? (YES / NO + what differs)</t>
  </si>
  <si>
    <t>CANNOT VERIFY — PRAGATI record not provided to evaluator. Story on call: RM-sourced via 2-year acquaintance.</t>
  </si>
  <si>
    <t>CHANNEL VERDICT (CLEAN / SUSPECT) + note</t>
  </si>
  <si>
    <t>CLEAN (provisional) — nothing adverse surfaced, but the three mandatory channel probes (agent, commission, login fee) were skipped; re-ask on the re-conducted FI.</t>
  </si>
  <si>
    <t>HEAD 3 — PRIMA FACIE ELIGIBILITY (income vs policy gates · bureau · collateral, in brief)</t>
  </si>
  <si>
    <t>FI-level check only — depth belongs to the BCM PD. Income streams as stated on the call, one row each; flag any stream the RM did NOT capture on PRAGATI.</t>
  </si>
  <si>
    <t>#</t>
  </si>
  <si>
    <t>Income stream (business / agri / dairy / rent / salary)</t>
  </si>
  <si>
    <t>Whose income (borrower / family member)</t>
  </si>
  <si>
    <t>Monthly amount stated (Rs.)</t>
  </si>
  <si>
    <t>Captured on PRAGATI by RM? (Yes / No)</t>
  </si>
  <si>
    <t>Timestamp</t>
  </si>
  <si>
    <t>Occupation vintage ≥ 1 yr? / on negative list?</t>
  </si>
  <si>
    <t>Remarks</t>
  </si>
  <si>
    <t>Milk aggregation margin (dairy trading)</t>
  </si>
  <si>
    <t>Borrower</t>
  </si>
  <si>
    <t>Unknown — PRAGATI not provided</t>
  </si>
  <si>
    <t>1:13–4:40</t>
  </si>
  <si>
    <t>Asked (~4:55); answer partly garbled on audio</t>
  </si>
  <si>
    <t>~105 L/day bought at village, sold to Krishna Milk Dairy; margin Rs.3/L + bonus =&gt; ~Rs.9,000–9,500/month derived (not stated as monthly on call)</t>
  </si>
  <si>
    <t>Own milk sale (5 buffaloes)</t>
  </si>
  <si>
    <t>Borrower/household</t>
  </si>
  <si>
    <t>1:38–2:02, 4:12</t>
  </si>
  <si>
    <t>Same business</t>
  </si>
  <si>
    <t>~15 L/day at ~Rs.51/L =&gt; ~Rs.22,000–23,000/month GROSS derived; feed/upkeep costs not netted on call</t>
  </si>
  <si>
    <t>Agriculture land</t>
  </si>
  <si>
    <t>Father's name</t>
  </si>
  <si>
    <t>2:03–2:26</t>
  </si>
  <si>
    <t>Land asked: extent &amp; owner; income not quantified</t>
  </si>
  <si>
    <t>No monthly figure stated</t>
  </si>
  <si>
    <t>Brother's dairy work</t>
  </si>
  <si>
    <t>Brother</t>
  </si>
  <si>
    <t>2:20–2:48</t>
  </si>
  <si>
    <t>Mentioned; not quantified</t>
  </si>
  <si>
    <t>TOTAL MONTHLY INCOME AS STATED ON CALL (Rs.)</t>
  </si>
  <si>
    <t>FI figures are as-stated, unverified — assessment happens at BCM PD stage</t>
  </si>
  <si>
    <t>HOUSEHOLD monthly income stated by customer (Rs.)</t>
  </si>
  <si>
    <t>Main earner's OWN monthly income stated (Rs.)</t>
  </si>
  <si>
    <t>Income streams NOT captured on PRAGATI by the RM (note for file, or "None")</t>
  </si>
  <si>
    <t>Agriculture (father's land) and brother's dairy work surfaced on call — check whether RM captured them on PRAGATI (record not provided). No monthly household figure was elicited — hence C44/C45 left blank; derived gross ~Rs.30–33k/month is BORDERLINE vs the Rs.30,000 gate.</t>
  </si>
  <si>
    <t>BM's prima facie sufficiency view as stated on call (sufficient / not sufficient + basis)</t>
  </si>
  <si>
    <t>No explicit sufficiency view stated on record; BM only worked the daily-saving arithmetic with the customer (3:35–4:40).</t>
  </si>
  <si>
    <t>Credit behaviour vs BPS / bureau — obligations acknowledged on the call, one row each.</t>
  </si>
  <si>
    <t>Lender / loan type</t>
  </si>
  <si>
    <t>In whose name</t>
  </si>
  <si>
    <t>Monthly EMI stated (Rs.)</t>
  </si>
  <si>
    <t>Shown in BPS / bureau? (Yes / No)</t>
  </si>
  <si>
    <t>Overdue / bounce on BPS?</t>
  </si>
  <si>
    <t>Explanation given &amp; accepted? (Yes / No)</t>
  </si>
  <si>
    <t>Timestamp + remarks</t>
  </si>
  <si>
    <t>Existing loan ~Rs.3,00,000 (lender name unclear on audio; secured on the house sold last year)</t>
  </si>
  <si>
    <t>Unknown — BPS not provided</t>
  </si>
  <si>
    <t>Partly — plan stated: close from sale proceeds; ~Rs.2–2.5 lakh balance to clear (7:50–8:16)</t>
  </si>
  <si>
    <t>5:53–6:40; EMI amount never elicited</t>
  </si>
  <si>
    <t>TOTAL MONTHLY EMIs AS ACKNOWLEDGED (Rs.)</t>
  </si>
  <si>
    <t>Reconcile against the BPS running-loan list held during the call</t>
  </si>
  <si>
    <t>Every BPS overdue / bounce confronted and explained? (YES / NO → FI-RF-6)</t>
  </si>
  <si>
    <t>NOT COVERED — BPS not provided to evaluator; no overdue/bounce put to the customer on call.</t>
  </si>
  <si>
    <t>Loan disclosed on call that the bureau does NOT show — or bureau loan denied? (details → FI-RF-6)</t>
  </si>
  <si>
    <t>~Rs.3 lakh loan disclosed on call (5:53–6:40) — reconcile against BPS/bureau (output not provided to evaluator).</t>
  </si>
  <si>
    <t>File placed with another bank / NBFC simultaneously? (NO / lender named)</t>
  </si>
  <si>
    <t>NOT ASKED — mandatory simultaneous-application question skipped.</t>
  </si>
  <si>
    <t>Collateral — brief check (depth belongs to the BCM PD and legal/valuation).</t>
  </si>
  <si>
    <t>Property offered — type, location, in whose name</t>
  </si>
  <si>
    <t>House/residential property near his village (exact type/location not pinned down). Prior house — which carried the running loan — sold last year (6:58–7:23). Offered property: customer says registry NOT available (~6:45).</t>
  </si>
  <si>
    <t>Willing to mortgage? Any existing loan / charge / dispute on the property? (issue → FI-RF-7)</t>
  </si>
  <si>
    <t>Willingness never explicitly asked. Registry/sale-deed absent per customer (~6:45) → FI-RF-7 — HOLD; legal/title check before CPA.</t>
  </si>
  <si>
    <t>RED FLAGS &amp; BM DECISION</t>
  </si>
  <si>
    <t>Red flags raised on call (FI-RF codes + timestamps) — or "NONE"</t>
  </si>
  <si>
    <t>FI-RF-7 (potential, ~6:45): offered property's registry not available per customer. No other RF surfaced — but the probes that would surface FI-RF-3/4 (agent, commission, login fee) were never asked.</t>
  </si>
  <si>
    <t>Discrepancies — call vs application / PRAGATI / BPS (or "None noted")</t>
  </si>
  <si>
    <t>Cannot reconcile — application form, PRAGATI record and BPS output were not provided to the evaluator. Loan amount, sourcing channel and obligations are as-stated only.</t>
  </si>
  <si>
    <t>BM DECISION on record: FORWARD TO CPA / REJECT AT BM STAGE + specific reason</t>
  </si>
  <si>
    <t>NOT RECORDED — the call ends (~8:16–8:29) without a FORWARD/REJECT decision or reason.</t>
  </si>
  <si>
    <t>On FORWARD — customer told next steps (Credit call, then business &amp; home visit)? (YES / NO)</t>
  </si>
  <si>
    <t>NO — next steps (Credit-team call, business &amp; residence visit) not told to the customer.</t>
  </si>
  <si>
    <t>Evaluator's note to management — what needs attention before this file moves</t>
  </si>
  <si>
    <t>FI must be RE-CONDUCTED (K1/K3/K4 failed; 8m29s). Before any forward: (1) resolve property registry/title — FI-RF-7; (2) run the skipped channel probes (agent/commission/login fee); (3) elicit household income vs Rs.30k/Rs.15k gates — derived estimate ~Rs.30–33k gross is borderline; (4) reconcile Rs.8-lakh ask and Rs.3-lakh obligation with the application form and BPS; (5) close with an on-record BM decision.</t>
  </si>
  <si>
    <t>MANAGEMENT ATTENTION REQUIRED?</t>
  </si>
  <si>
    <t>YES → route to RCM/CCRO with the note above · NO → file proceeds per the BM decision and Scorecard verdict</t>
  </si>
  <si>
    <t>Rule: every answer in this summary must trace to what was SAID on the recording (with timestamp) or be marked "Not covered". The summary never replaces the Scorecard — it sits beside the score, the seven gates and the verdict shown in the header. FI figures are as-stated and unverified; verification depth belongs to the BCM PD.</t>
  </si>
  <si>
    <t>RED FLAGS — MANDATORY ESCALATION TRIGGERS (BM FI)</t>
  </si>
  <si>
    <t>Code</t>
  </si>
  <si>
    <t>Trigger detected on the call</t>
  </si>
  <si>
    <t>Required action</t>
  </si>
  <si>
    <t>Customer unaware that a loan application exists or does not know Prodigee.</t>
  </si>
  <si>
    <t>STOP — refer RCU &amp; CCRO (possible fraud)</t>
  </si>
  <si>
    <t>FI-RF-2</t>
  </si>
  <si>
    <t>Loan amount stated differs from the application by more than ±10%.</t>
  </si>
  <si>
    <t>Reconcile with RM before forwarding</t>
  </si>
  <si>
    <t>FI-RF-3</t>
  </si>
  <si>
    <t>Agent / broker / DSA involvement surfaced in sourcing.</t>
  </si>
  <si>
    <t>STOP — CCRO; channel integrity review</t>
  </si>
  <si>
    <t>FI-RF-4</t>
  </si>
  <si>
    <t>Anyone demanded commission, fees or money from the customer.</t>
  </si>
  <si>
    <t>STOP — CCRO + HR/conduct referral (Zero Commission Policy)</t>
  </si>
  <si>
    <t>FI-RF-5</t>
  </si>
  <si>
    <t>Income below policy gates (household &lt; ₹30,000/month or no earner ≥ ₹15,000).</t>
  </si>
  <si>
    <t>REJECT at BM stage with reason — do not forward to CPA</t>
  </si>
  <si>
    <t>FI-RF-6</t>
  </si>
  <si>
    <t>Overdue/bounce on BPS unexplained or denied; or loan disclosed that bureau does not show.</t>
  </si>
  <si>
    <t>Reject or hold; escalate to RCM/CCRO if forwarded</t>
  </si>
  <si>
    <t>FI-RF-7</t>
  </si>
  <si>
    <t>Customer reluctant to mortgage, or existing charge/dispute on the property.</t>
  </si>
  <si>
    <t>Hold — resolve before CPA; Legal referral if charge exists</t>
  </si>
  <si>
    <t>FI-RF-8</t>
  </si>
  <si>
    <t>RM never visited the customer / sourcing story contradicts PRAGATI.</t>
  </si>
  <si>
    <t>Return to RM; sourcing-integrity note to CCRO</t>
  </si>
  <si>
    <t>SCORE BANDS &amp; ACTIONS</t>
  </si>
  <si>
    <t>Score</t>
  </si>
  <si>
    <t>Band</t>
  </si>
  <si>
    <t>Action</t>
  </si>
  <si>
    <t>90–100</t>
  </si>
  <si>
    <t>A — Excellent</t>
  </si>
  <si>
    <t>Model FI. Forward per BM decision; training library.</t>
  </si>
  <si>
    <t>75–89</t>
  </si>
  <si>
    <t>B — Pass</t>
  </si>
  <si>
    <t>FI acceptable. BM decision (forward/reject) stands.</t>
  </si>
  <si>
    <t>60–74</t>
  </si>
  <si>
    <t>C — Conditional</t>
  </si>
  <si>
    <t>Supplementary call covering missed items before CPA.</t>
  </si>
  <si>
    <t>Below 60</t>
  </si>
  <si>
    <t>D — Fail</t>
  </si>
  <si>
    <t>FI re-conducted in full; counts in BM quality MIS.</t>
  </si>
  <si>
    <t>Any knock-out failed</t>
  </si>
  <si>
    <t>INVALID</t>
  </si>
  <si>
    <t>Recording rejected regardless of score; re-conduct.</t>
  </si>
  <si>
    <t>Minimum passing standard: Score ≥ 75 AND all 7 knock-out gates PASS AND no open red flag.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</si>
</sst>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sz val="11"/>
      <color theme="1"/>
      <name val="Aptos Display"/>
      <family val="2"/>
      <charset val="1"/>
    </font>
    <font>
      <b/>
      <sz val="11"/>
      <name val="Aptos Display"/>
      <family val="2"/>
      <charset val="1"/>
    </font>
    <font>
      <sz val="11"/>
      <name val="Aptos Display"/>
      <family val="2"/>
      <charset val="1"/>
    </font>
    <font>
      <sz val="11"/>
      <name val="Aptos Display"/>
      <charset val="1"/>
    </font>
    <font>
      <b/>
      <sz val="13"/>
      <color rgb="FFFFFFFF"/>
      <name val="Aptos Display"/>
      <charset val="1"/>
    </font>
    <font>
      <b/>
      <sz val="11"/>
      <color rgb="FFFFFFFF"/>
      <name val="Aptos Display"/>
      <family val="2"/>
      <charset val="1"/>
    </font>
    <font>
      <i/>
      <sz val="10"/>
      <color rgb="FF595959"/>
      <name val="Aptos Display"/>
      <charset val="1"/>
    </font>
    <font>
      <b/>
      <sz val="11"/>
      <name val="Aptos Display"/>
      <charset val="1"/>
    </font>
    <font>
      <sz val="10"/>
      <name val="Aptos Display"/>
      <charset val="1"/>
    </font>
    <font>
      <b/>
      <sz val="11"/>
      <color rgb="FFFFFFFF"/>
      <name val="Aptos Display"/>
      <charset val="1"/>
    </font>
    <font>
      <b/>
      <sz val="10"/>
      <color rgb="FFFFFFFF"/>
      <name val="Aptos Display"/>
      <charset val="1"/>
    </font>
    <font>
      <b/>
      <sz val="12"/>
      <color rgb="FFFFFFFF"/>
      <name val="Aptos Display"/>
      <charset val="1"/>
    </font>
    <font>
      <b/>
      <sz val="12"/>
      <name val="Aptos Display"/>
      <charset val="1"/>
    </font>
    <font>
      <i/>
      <sz val="11"/>
      <color rgb="FF595959"/>
      <name val="Aptos Display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D9E2F3"/>
        <bgColor rgb="FFF2F2F2"/>
      </patternFill>
    </fill>
    <fill>
      <patternFill patternType="solid">
        <fgColor rgb="FF7C1D1D"/>
        <bgColor rgb="FF800000"/>
      </patternFill>
    </fill>
    <fill>
      <patternFill patternType="solid">
        <fgColor rgb="FFF2F2F2"/>
        <bgColor rgb="FFFFFF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1" xfId="0" applyFont="1" applyBorder="1" applyAlignment="1">
      <alignment vertical="center" wrapText="1"/>
    </xf>
    <xf numFmtId="0" fontId="6" fillId="2" borderId="1" xfId="0" applyFont="1" applyFill="1" applyBorder="1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0" xfId="0" applyFont="1"/>
    <xf numFmtId="0" fontId="3" fillId="3" borderId="2" xfId="0" applyFont="1" applyFill="1" applyBorder="1"/>
    <xf numFmtId="0" fontId="6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top" wrapText="1"/>
    </xf>
    <xf numFmtId="0" fontId="6" fillId="4" borderId="1" xfId="0" applyFont="1" applyFill="1" applyBorder="1"/>
    <xf numFmtId="0" fontId="1" fillId="0" borderId="1" xfId="0" applyFont="1" applyBorder="1"/>
    <xf numFmtId="0" fontId="2" fillId="5" borderId="1" xfId="0" applyFont="1" applyFill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6" fillId="6" borderId="0" xfId="0" applyFont="1" applyFill="1"/>
    <xf numFmtId="0" fontId="2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6" fillId="6" borderId="1" xfId="0" applyFont="1" applyFill="1" applyBorder="1"/>
    <xf numFmtId="0" fontId="1" fillId="5" borderId="1" xfId="0" applyFont="1" applyFill="1" applyBorder="1"/>
    <xf numFmtId="0" fontId="3" fillId="0" borderId="1" xfId="0" applyFont="1" applyBorder="1"/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4" fillId="3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top"/>
    </xf>
    <xf numFmtId="3" fontId="4" fillId="3" borderId="1" xfId="0" applyNumberFormat="1" applyFont="1" applyFill="1" applyBorder="1" applyAlignment="1">
      <alignment vertical="top" wrapText="1"/>
    </xf>
    <xf numFmtId="3" fontId="8" fillId="7" borderId="1" xfId="0" applyNumberFormat="1" applyFont="1" applyFill="1" applyBorder="1"/>
    <xf numFmtId="0" fontId="5" fillId="2" borderId="0" xfId="0" applyFont="1" applyFill="1" applyAlignment="1">
      <alignment horizontal="center" vertical="center"/>
    </xf>
    <xf numFmtId="0" fontId="0" fillId="0" borderId="0" xfId="0"/>
    <xf numFmtId="0" fontId="1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6" fillId="2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2" fillId="2" borderId="1" xfId="0" applyFont="1" applyFill="1" applyBorder="1"/>
    <xf numFmtId="0" fontId="13" fillId="3" borderId="1" xfId="0" applyFont="1" applyFill="1" applyBorder="1"/>
    <xf numFmtId="0" fontId="5" fillId="2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C1D1D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0"/>
  <sheetViews>
    <sheetView zoomScaleNormal="100" workbookViewId="0">
      <selection activeCell="B1" sqref="B1:B10"/>
    </sheetView>
  </sheetViews>
  <sheetFormatPr defaultColWidth="8.6640625" defaultRowHeight="14.4" x14ac:dyDescent="0.3"/>
  <cols>
    <col min="1" max="1" width="4" style="3" customWidth="1"/>
    <col min="2" max="2" width="110" style="3" customWidth="1"/>
    <col min="3" max="3" width="8.6640625" style="3" customWidth="1"/>
    <col min="4" max="16384" width="8.6640625" style="3"/>
  </cols>
  <sheetData>
    <row r="1" spans="2:2" x14ac:dyDescent="0.3">
      <c r="B1" s="4" t="s">
        <v>12</v>
      </c>
    </row>
    <row r="2" spans="2:2" ht="28.5" customHeight="1" x14ac:dyDescent="0.3">
      <c r="B2" s="5" t="s">
        <v>13</v>
      </c>
    </row>
    <row r="3" spans="2:2" x14ac:dyDescent="0.3">
      <c r="B3" s="5"/>
    </row>
    <row r="4" spans="2:2" x14ac:dyDescent="0.3">
      <c r="B4" s="4" t="s">
        <v>14</v>
      </c>
    </row>
    <row r="5" spans="2:2" ht="28.5" customHeight="1" x14ac:dyDescent="0.3">
      <c r="B5" s="5" t="s">
        <v>15</v>
      </c>
    </row>
    <row r="6" spans="2:2" ht="28.5" customHeight="1" x14ac:dyDescent="0.3">
      <c r="B6" s="5" t="s">
        <v>16</v>
      </c>
    </row>
    <row r="7" spans="2:2" x14ac:dyDescent="0.3">
      <c r="B7" s="5" t="s">
        <v>17</v>
      </c>
    </row>
    <row r="8" spans="2:2" ht="28.5" customHeight="1" x14ac:dyDescent="0.3">
      <c r="B8" s="5" t="s">
        <v>18</v>
      </c>
    </row>
    <row r="9" spans="2:2" x14ac:dyDescent="0.3">
      <c r="B9" s="5" t="s">
        <v>19</v>
      </c>
    </row>
    <row r="10" spans="2:2" ht="57.6" customHeight="1" x14ac:dyDescent="0.3">
      <c r="B10" s="32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3"/>
  <sheetViews>
    <sheetView showGridLines="0" zoomScaleNormal="100" workbookViewId="0">
      <pane ySplit="9" topLeftCell="A10" activePane="bottomLeft" state="frozen"/>
      <selection pane="bottomLeft" activeCell="B18" sqref="B18"/>
    </sheetView>
  </sheetViews>
  <sheetFormatPr defaultColWidth="8.6640625" defaultRowHeight="14.4" x14ac:dyDescent="0.3"/>
  <cols>
    <col min="1" max="1" width="22.5546875" customWidth="1"/>
    <col min="2" max="2" width="42" customWidth="1"/>
    <col min="3" max="3" width="52" customWidth="1"/>
    <col min="4" max="4" width="26" customWidth="1"/>
    <col min="5" max="5" width="21.88671875" customWidth="1"/>
    <col min="6" max="6" width="11" customWidth="1"/>
    <col min="7" max="8" width="10" customWidth="1"/>
    <col min="9" max="9" width="45" customWidth="1"/>
  </cols>
  <sheetData>
    <row r="1" spans="1:9" ht="17.25" customHeight="1" x14ac:dyDescent="0.3">
      <c r="A1" s="39" t="s">
        <v>21</v>
      </c>
      <c r="B1" s="40"/>
      <c r="C1" s="40"/>
      <c r="D1" s="40"/>
      <c r="E1" s="40"/>
      <c r="F1" s="40"/>
      <c r="G1" s="40"/>
      <c r="H1" s="40"/>
      <c r="I1" s="40"/>
    </row>
    <row r="2" spans="1:9" x14ac:dyDescent="0.3">
      <c r="A2" s="6" t="s">
        <v>22</v>
      </c>
      <c r="B2" s="7" t="s">
        <v>23</v>
      </c>
      <c r="C2" s="6" t="s">
        <v>24</v>
      </c>
      <c r="D2" s="7" t="s">
        <v>25</v>
      </c>
      <c r="E2" s="3"/>
      <c r="F2" s="3"/>
      <c r="G2" s="3"/>
      <c r="H2" s="3"/>
      <c r="I2" s="3"/>
    </row>
    <row r="3" spans="1:9" x14ac:dyDescent="0.3">
      <c r="A3" s="6" t="s">
        <v>26</v>
      </c>
      <c r="B3" s="7" t="s">
        <v>27</v>
      </c>
      <c r="C3" s="3"/>
      <c r="D3" s="3"/>
      <c r="E3" s="3"/>
      <c r="F3" s="3"/>
      <c r="G3" s="3"/>
      <c r="H3" s="3"/>
      <c r="I3" s="3"/>
    </row>
    <row r="4" spans="1:9" x14ac:dyDescent="0.3">
      <c r="A4" s="6" t="s">
        <v>28</v>
      </c>
      <c r="B4" s="7" t="s">
        <v>29</v>
      </c>
      <c r="C4" s="3"/>
      <c r="D4" s="3"/>
      <c r="E4" s="3"/>
      <c r="F4" s="3"/>
      <c r="G4" s="3"/>
      <c r="H4" s="3"/>
      <c r="I4" s="3"/>
    </row>
    <row r="5" spans="1:9" x14ac:dyDescent="0.3">
      <c r="A5" s="6" t="s">
        <v>30</v>
      </c>
      <c r="B5" s="7" t="s">
        <v>31</v>
      </c>
      <c r="C5" s="3"/>
      <c r="D5" s="3"/>
      <c r="E5" s="3"/>
      <c r="F5" s="3"/>
      <c r="G5" s="3"/>
      <c r="H5" s="3"/>
      <c r="I5" s="3"/>
    </row>
    <row r="6" spans="1:9" x14ac:dyDescent="0.3">
      <c r="A6" s="6" t="s">
        <v>32</v>
      </c>
      <c r="B6" s="7">
        <v>8.5</v>
      </c>
      <c r="C6" s="3"/>
      <c r="D6" s="3"/>
      <c r="E6" s="3"/>
      <c r="F6" s="3"/>
      <c r="G6" s="3"/>
      <c r="H6" s="3"/>
      <c r="I6" s="3"/>
    </row>
    <row r="7" spans="1:9" x14ac:dyDescent="0.3">
      <c r="A7" s="6" t="s">
        <v>33</v>
      </c>
      <c r="B7" s="7" t="s">
        <v>34</v>
      </c>
      <c r="C7" s="3"/>
      <c r="D7" s="3"/>
      <c r="E7" s="3"/>
      <c r="F7" s="3"/>
      <c r="G7" s="3"/>
      <c r="H7" s="3"/>
      <c r="I7" s="3"/>
    </row>
    <row r="8" spans="1:9" x14ac:dyDescent="0.3">
      <c r="A8" s="3"/>
      <c r="B8" s="3"/>
      <c r="C8" s="3"/>
      <c r="D8" s="3"/>
      <c r="E8" s="3"/>
      <c r="F8" s="3"/>
      <c r="G8" s="3"/>
      <c r="H8" s="3"/>
      <c r="I8" s="3"/>
    </row>
    <row r="9" spans="1:9" ht="28.5" customHeight="1" x14ac:dyDescent="0.3">
      <c r="A9" s="8" t="s">
        <v>35</v>
      </c>
      <c r="B9" s="8" t="s">
        <v>36</v>
      </c>
      <c r="C9" s="8" t="s">
        <v>37</v>
      </c>
      <c r="D9" s="8" t="s">
        <v>38</v>
      </c>
      <c r="E9" s="8" t="s">
        <v>39</v>
      </c>
      <c r="F9" s="8" t="s">
        <v>40</v>
      </c>
      <c r="G9" s="8" t="s">
        <v>41</v>
      </c>
      <c r="H9" s="8" t="s">
        <v>42</v>
      </c>
      <c r="I9" s="8" t="s">
        <v>43</v>
      </c>
    </row>
    <row r="10" spans="1:9" x14ac:dyDescent="0.3">
      <c r="A10" s="45" t="s">
        <v>44</v>
      </c>
      <c r="B10" s="43"/>
      <c r="C10" s="43"/>
      <c r="D10" s="43"/>
      <c r="E10" s="43"/>
      <c r="F10" s="43"/>
      <c r="G10" s="43"/>
      <c r="H10" s="44"/>
      <c r="I10" s="9">
        <v>12</v>
      </c>
    </row>
    <row r="11" spans="1:9" ht="28.5" customHeight="1" x14ac:dyDescent="0.3">
      <c r="A11" s="10" t="s">
        <v>45</v>
      </c>
      <c r="B11" s="11" t="s">
        <v>46</v>
      </c>
      <c r="C11" s="12" t="s">
        <v>47</v>
      </c>
      <c r="D11" s="12" t="s">
        <v>48</v>
      </c>
      <c r="E11" s="13" t="s">
        <v>49</v>
      </c>
      <c r="F11" s="13">
        <v>3</v>
      </c>
      <c r="G11" s="14" t="s">
        <v>50</v>
      </c>
      <c r="H11" s="15">
        <f>IF(G11="N/A",0,F11*IF(G11="Full",1,IF(G11="Partial",0.5,0)))</f>
        <v>0</v>
      </c>
      <c r="I11" s="16" t="s">
        <v>51</v>
      </c>
    </row>
    <row r="12" spans="1:9" ht="42.75" customHeight="1" x14ac:dyDescent="0.3">
      <c r="A12" s="10" t="s">
        <v>52</v>
      </c>
      <c r="B12" s="11" t="s">
        <v>53</v>
      </c>
      <c r="C12" s="12" t="s">
        <v>54</v>
      </c>
      <c r="D12" s="12" t="s">
        <v>55</v>
      </c>
      <c r="E12" s="13" t="s">
        <v>49</v>
      </c>
      <c r="F12" s="13">
        <v>3</v>
      </c>
      <c r="G12" s="14" t="s">
        <v>56</v>
      </c>
      <c r="H12" s="15">
        <f>IF(G12="N/A",0,F12*IF(G12="Full",1,IF(G12="Partial",0.5,0)))</f>
        <v>1.5</v>
      </c>
      <c r="I12" s="16" t="s">
        <v>57</v>
      </c>
    </row>
    <row r="13" spans="1:9" ht="28.5" customHeight="1" x14ac:dyDescent="0.3">
      <c r="A13" s="10" t="s">
        <v>58</v>
      </c>
      <c r="B13" s="11" t="s">
        <v>59</v>
      </c>
      <c r="C13" s="12" t="s">
        <v>60</v>
      </c>
      <c r="D13" s="12" t="s">
        <v>61</v>
      </c>
      <c r="E13" s="13" t="s">
        <v>49</v>
      </c>
      <c r="F13" s="13">
        <v>3</v>
      </c>
      <c r="G13" s="14" t="s">
        <v>62</v>
      </c>
      <c r="H13" s="15">
        <f>IF(G13="N/A",0,F13*IF(G13="Full",1,IF(G13="Partial",0.5,0)))</f>
        <v>3</v>
      </c>
      <c r="I13" s="16" t="s">
        <v>63</v>
      </c>
    </row>
    <row r="14" spans="1:9" ht="28.5" customHeight="1" x14ac:dyDescent="0.3">
      <c r="A14" s="10" t="s">
        <v>64</v>
      </c>
      <c r="B14" s="11" t="s">
        <v>65</v>
      </c>
      <c r="C14" s="12" t="s">
        <v>66</v>
      </c>
      <c r="D14" s="12" t="s">
        <v>67</v>
      </c>
      <c r="E14" s="13" t="s">
        <v>68</v>
      </c>
      <c r="F14" s="13">
        <v>3</v>
      </c>
      <c r="G14" s="14" t="s">
        <v>62</v>
      </c>
      <c r="H14" s="15">
        <f>IF(G14="N/A",0,F14*IF(G14="Full",1,IF(G14="Partial",0.5,0)))</f>
        <v>3</v>
      </c>
      <c r="I14" s="16" t="s">
        <v>69</v>
      </c>
    </row>
    <row r="15" spans="1:9" x14ac:dyDescent="0.3">
      <c r="A15" s="45" t="s">
        <v>70</v>
      </c>
      <c r="B15" s="43"/>
      <c r="C15" s="43"/>
      <c r="D15" s="43"/>
      <c r="E15" s="43"/>
      <c r="F15" s="43"/>
      <c r="G15" s="43"/>
      <c r="H15" s="44"/>
      <c r="I15" s="9">
        <v>16</v>
      </c>
    </row>
    <row r="16" spans="1:9" ht="42.75" customHeight="1" x14ac:dyDescent="0.3">
      <c r="A16" s="10" t="s">
        <v>71</v>
      </c>
      <c r="B16" s="11" t="s">
        <v>72</v>
      </c>
      <c r="C16" s="12" t="s">
        <v>73</v>
      </c>
      <c r="D16" s="12" t="s">
        <v>74</v>
      </c>
      <c r="E16" s="13" t="s">
        <v>49</v>
      </c>
      <c r="F16" s="13">
        <v>4</v>
      </c>
      <c r="G16" s="14" t="s">
        <v>56</v>
      </c>
      <c r="H16" s="15">
        <f>IF(G16="N/A",0,F16*IF(G16="Full",1,IF(G16="Partial",0.5,0)))</f>
        <v>2</v>
      </c>
      <c r="I16" s="16" t="s">
        <v>75</v>
      </c>
    </row>
    <row r="17" spans="1:9" ht="42.75" customHeight="1" x14ac:dyDescent="0.3">
      <c r="A17" s="10" t="s">
        <v>76</v>
      </c>
      <c r="B17" s="11" t="s">
        <v>77</v>
      </c>
      <c r="C17" s="12" t="s">
        <v>78</v>
      </c>
      <c r="D17" s="12" t="s">
        <v>79</v>
      </c>
      <c r="E17" s="13" t="s">
        <v>49</v>
      </c>
      <c r="F17" s="13">
        <v>4</v>
      </c>
      <c r="G17" s="14" t="s">
        <v>50</v>
      </c>
      <c r="H17" s="15">
        <f>IF(G17="N/A",0,F17*IF(G17="Full",1,IF(G17="Partial",0.5,0)))</f>
        <v>0</v>
      </c>
      <c r="I17" s="16" t="s">
        <v>80</v>
      </c>
    </row>
    <row r="18" spans="1:9" ht="42.75" customHeight="1" x14ac:dyDescent="0.3">
      <c r="A18" s="10" t="s">
        <v>81</v>
      </c>
      <c r="B18" s="11" t="s">
        <v>82</v>
      </c>
      <c r="C18" s="12" t="s">
        <v>83</v>
      </c>
      <c r="D18" s="12" t="s">
        <v>84</v>
      </c>
      <c r="E18" s="13" t="s">
        <v>49</v>
      </c>
      <c r="F18" s="13">
        <v>4</v>
      </c>
      <c r="G18" s="14" t="s">
        <v>50</v>
      </c>
      <c r="H18" s="15">
        <f>IF(G18="N/A",0,F18*IF(G18="Full",1,IF(G18="Partial",0.5,0)))</f>
        <v>0</v>
      </c>
      <c r="I18" s="16" t="s">
        <v>85</v>
      </c>
    </row>
    <row r="19" spans="1:9" ht="28.5" customHeight="1" x14ac:dyDescent="0.3">
      <c r="A19" s="10" t="s">
        <v>86</v>
      </c>
      <c r="B19" s="11" t="s">
        <v>87</v>
      </c>
      <c r="C19" s="12" t="s">
        <v>88</v>
      </c>
      <c r="D19" s="12" t="s">
        <v>89</v>
      </c>
      <c r="E19" s="13" t="s">
        <v>68</v>
      </c>
      <c r="F19" s="13">
        <v>4</v>
      </c>
      <c r="G19" s="14" t="s">
        <v>56</v>
      </c>
      <c r="H19" s="15">
        <f>IF(G19="N/A",0,F19*IF(G19="Full",1,IF(G19="Partial",0.5,0)))</f>
        <v>2</v>
      </c>
      <c r="I19" s="16" t="s">
        <v>90</v>
      </c>
    </row>
    <row r="20" spans="1:9" x14ac:dyDescent="0.3">
      <c r="A20" s="45" t="s">
        <v>91</v>
      </c>
      <c r="B20" s="43"/>
      <c r="C20" s="43"/>
      <c r="D20" s="43"/>
      <c r="E20" s="43"/>
      <c r="F20" s="43"/>
      <c r="G20" s="43"/>
      <c r="H20" s="44"/>
      <c r="I20" s="9">
        <v>12</v>
      </c>
    </row>
    <row r="21" spans="1:9" ht="28.5" customHeight="1" x14ac:dyDescent="0.3">
      <c r="A21" s="10" t="s">
        <v>92</v>
      </c>
      <c r="B21" s="11" t="s">
        <v>93</v>
      </c>
      <c r="C21" s="12" t="s">
        <v>94</v>
      </c>
      <c r="D21" s="12" t="s">
        <v>95</v>
      </c>
      <c r="E21" s="13" t="s">
        <v>49</v>
      </c>
      <c r="F21" s="13">
        <v>4</v>
      </c>
      <c r="G21" s="14" t="s">
        <v>56</v>
      </c>
      <c r="H21" s="15">
        <f>IF(G21="N/A",0,F21*IF(G21="Full",1,IF(G21="Partial",0.5,0)))</f>
        <v>2</v>
      </c>
      <c r="I21" s="16" t="s">
        <v>96</v>
      </c>
    </row>
    <row r="22" spans="1:9" ht="28.5" customHeight="1" x14ac:dyDescent="0.3">
      <c r="A22" s="10" t="s">
        <v>97</v>
      </c>
      <c r="B22" s="11" t="s">
        <v>98</v>
      </c>
      <c r="C22" s="12" t="s">
        <v>99</v>
      </c>
      <c r="D22" s="12" t="s">
        <v>100</v>
      </c>
      <c r="E22" s="13" t="s">
        <v>49</v>
      </c>
      <c r="F22" s="13">
        <v>4</v>
      </c>
      <c r="G22" s="14" t="s">
        <v>56</v>
      </c>
      <c r="H22" s="15">
        <f>IF(G22="N/A",0,F22*IF(G22="Full",1,IF(G22="Partial",0.5,0)))</f>
        <v>2</v>
      </c>
      <c r="I22" s="16" t="s">
        <v>101</v>
      </c>
    </row>
    <row r="23" spans="1:9" ht="28.5" customHeight="1" x14ac:dyDescent="0.3">
      <c r="A23" s="10" t="s">
        <v>102</v>
      </c>
      <c r="B23" s="11" t="s">
        <v>103</v>
      </c>
      <c r="C23" s="12" t="s">
        <v>104</v>
      </c>
      <c r="D23" s="12" t="s">
        <v>105</v>
      </c>
      <c r="E23" s="13" t="s">
        <v>68</v>
      </c>
      <c r="F23" s="13">
        <v>4</v>
      </c>
      <c r="G23" s="14" t="s">
        <v>56</v>
      </c>
      <c r="H23" s="15">
        <f>IF(G23="N/A",0,F23*IF(G23="Full",1,IF(G23="Partial",0.5,0)))</f>
        <v>2</v>
      </c>
      <c r="I23" s="16" t="s">
        <v>106</v>
      </c>
    </row>
    <row r="24" spans="1:9" x14ac:dyDescent="0.3">
      <c r="A24" s="45" t="s">
        <v>107</v>
      </c>
      <c r="B24" s="43"/>
      <c r="C24" s="43"/>
      <c r="D24" s="43"/>
      <c r="E24" s="43"/>
      <c r="F24" s="43"/>
      <c r="G24" s="43"/>
      <c r="H24" s="44"/>
      <c r="I24" s="9">
        <v>24</v>
      </c>
    </row>
    <row r="25" spans="1:9" ht="28.5" customHeight="1" x14ac:dyDescent="0.3">
      <c r="A25" s="10" t="s">
        <v>108</v>
      </c>
      <c r="B25" s="11" t="s">
        <v>109</v>
      </c>
      <c r="C25" s="12" t="s">
        <v>110</v>
      </c>
      <c r="D25" s="12" t="s">
        <v>111</v>
      </c>
      <c r="E25" s="13" t="s">
        <v>68</v>
      </c>
      <c r="F25" s="13">
        <v>6</v>
      </c>
      <c r="G25" s="14" t="s">
        <v>62</v>
      </c>
      <c r="H25" s="15">
        <f>IF(G25="N/A",0,F25*IF(G25="Full",1,IF(G25="Partial",0.5,0)))</f>
        <v>6</v>
      </c>
      <c r="I25" s="16" t="s">
        <v>112</v>
      </c>
    </row>
    <row r="26" spans="1:9" ht="42.75" customHeight="1" x14ac:dyDescent="0.3">
      <c r="A26" s="10" t="s">
        <v>113</v>
      </c>
      <c r="B26" s="11" t="s">
        <v>114</v>
      </c>
      <c r="C26" s="12" t="s">
        <v>115</v>
      </c>
      <c r="D26" s="12" t="s">
        <v>116</v>
      </c>
      <c r="E26" s="13" t="s">
        <v>49</v>
      </c>
      <c r="F26" s="13">
        <v>6</v>
      </c>
      <c r="G26" s="14" t="s">
        <v>56</v>
      </c>
      <c r="H26" s="15">
        <f>IF(G26="N/A",0,F26*IF(G26="Full",1,IF(G26="Partial",0.5,0)))</f>
        <v>3</v>
      </c>
      <c r="I26" s="16" t="s">
        <v>117</v>
      </c>
    </row>
    <row r="27" spans="1:9" ht="42.75" customHeight="1" x14ac:dyDescent="0.3">
      <c r="A27" s="10" t="s">
        <v>118</v>
      </c>
      <c r="B27" s="11" t="s">
        <v>119</v>
      </c>
      <c r="C27" s="12" t="s">
        <v>120</v>
      </c>
      <c r="D27" s="12" t="s">
        <v>121</v>
      </c>
      <c r="E27" s="13" t="s">
        <v>68</v>
      </c>
      <c r="F27" s="13">
        <v>6</v>
      </c>
      <c r="G27" s="14" t="s">
        <v>62</v>
      </c>
      <c r="H27" s="15">
        <f>IF(G27="N/A",0,F27*IF(G27="Full",1,IF(G27="Partial",0.5,0)))</f>
        <v>6</v>
      </c>
      <c r="I27" s="16" t="s">
        <v>122</v>
      </c>
    </row>
    <row r="28" spans="1:9" ht="28.5" customHeight="1" x14ac:dyDescent="0.3">
      <c r="A28" s="10" t="s">
        <v>123</v>
      </c>
      <c r="B28" s="11" t="s">
        <v>124</v>
      </c>
      <c r="C28" s="12" t="s">
        <v>125</v>
      </c>
      <c r="D28" s="12" t="s">
        <v>126</v>
      </c>
      <c r="E28" s="13" t="s">
        <v>68</v>
      </c>
      <c r="F28" s="13">
        <v>6</v>
      </c>
      <c r="G28" s="14" t="s">
        <v>56</v>
      </c>
      <c r="H28" s="15">
        <f>IF(G28="N/A",0,F28*IF(G28="Full",1,IF(G28="Partial",0.5,0)))</f>
        <v>3</v>
      </c>
      <c r="I28" s="16" t="s">
        <v>127</v>
      </c>
    </row>
    <row r="29" spans="1:9" x14ac:dyDescent="0.3">
      <c r="A29" s="45" t="s">
        <v>128</v>
      </c>
      <c r="B29" s="43"/>
      <c r="C29" s="43"/>
      <c r="D29" s="43"/>
      <c r="E29" s="43"/>
      <c r="F29" s="43"/>
      <c r="G29" s="43"/>
      <c r="H29" s="44"/>
      <c r="I29" s="9">
        <v>16</v>
      </c>
    </row>
    <row r="30" spans="1:9" ht="28.5" customHeight="1" x14ac:dyDescent="0.3">
      <c r="A30" s="10" t="s">
        <v>129</v>
      </c>
      <c r="B30" s="11" t="s">
        <v>130</v>
      </c>
      <c r="C30" s="12" t="s">
        <v>131</v>
      </c>
      <c r="D30" s="12" t="s">
        <v>132</v>
      </c>
      <c r="E30" s="13" t="s">
        <v>49</v>
      </c>
      <c r="F30" s="13">
        <v>6</v>
      </c>
      <c r="G30" s="14" t="s">
        <v>56</v>
      </c>
      <c r="H30" s="15">
        <f>IF(G30="N/A",0,F30*IF(G30="Full",1,IF(G30="Partial",0.5,0)))</f>
        <v>3</v>
      </c>
      <c r="I30" s="16" t="s">
        <v>133</v>
      </c>
    </row>
    <row r="31" spans="1:9" ht="28.5" customHeight="1" x14ac:dyDescent="0.3">
      <c r="A31" s="10" t="s">
        <v>134</v>
      </c>
      <c r="B31" s="11" t="s">
        <v>135</v>
      </c>
      <c r="C31" s="12" t="s">
        <v>136</v>
      </c>
      <c r="D31" s="12" t="s">
        <v>137</v>
      </c>
      <c r="E31" s="13" t="s">
        <v>49</v>
      </c>
      <c r="F31" s="13">
        <v>6</v>
      </c>
      <c r="G31" s="14" t="s">
        <v>138</v>
      </c>
      <c r="H31" s="15">
        <f>IF(G31="N/A",0,F31*IF(G31="Full",1,IF(G31="Partial",0.5,0)))</f>
        <v>0</v>
      </c>
      <c r="I31" s="16" t="s">
        <v>139</v>
      </c>
    </row>
    <row r="32" spans="1:9" ht="28.5" customHeight="1" x14ac:dyDescent="0.3">
      <c r="A32" s="10" t="s">
        <v>140</v>
      </c>
      <c r="B32" s="11" t="s">
        <v>141</v>
      </c>
      <c r="C32" s="12" t="s">
        <v>142</v>
      </c>
      <c r="D32" s="12" t="s">
        <v>143</v>
      </c>
      <c r="E32" s="13" t="s">
        <v>68</v>
      </c>
      <c r="F32" s="13">
        <v>4</v>
      </c>
      <c r="G32" s="14" t="s">
        <v>50</v>
      </c>
      <c r="H32" s="15">
        <f>IF(G32="N/A",0,F32*IF(G32="Full",1,IF(G32="Partial",0.5,0)))</f>
        <v>0</v>
      </c>
      <c r="I32" s="16" t="s">
        <v>144</v>
      </c>
    </row>
    <row r="33" spans="1:9" x14ac:dyDescent="0.3">
      <c r="A33" s="45" t="s">
        <v>145</v>
      </c>
      <c r="B33" s="43"/>
      <c r="C33" s="43"/>
      <c r="D33" s="43"/>
      <c r="E33" s="43"/>
      <c r="F33" s="43"/>
      <c r="G33" s="43"/>
      <c r="H33" s="44"/>
      <c r="I33" s="9">
        <v>10</v>
      </c>
    </row>
    <row r="34" spans="1:9" ht="28.5" customHeight="1" x14ac:dyDescent="0.3">
      <c r="A34" s="10" t="s">
        <v>146</v>
      </c>
      <c r="B34" s="11" t="s">
        <v>147</v>
      </c>
      <c r="C34" s="12" t="s">
        <v>148</v>
      </c>
      <c r="D34" s="12" t="s">
        <v>149</v>
      </c>
      <c r="E34" s="13" t="s">
        <v>68</v>
      </c>
      <c r="F34" s="13">
        <v>5</v>
      </c>
      <c r="G34" s="14" t="s">
        <v>56</v>
      </c>
      <c r="H34" s="15">
        <f>IF(G34="N/A",0,F34*IF(G34="Full",1,IF(G34="Partial",0.5,0)))</f>
        <v>2.5</v>
      </c>
      <c r="I34" s="16" t="s">
        <v>150</v>
      </c>
    </row>
    <row r="35" spans="1:9" ht="28.5" customHeight="1" x14ac:dyDescent="0.3">
      <c r="A35" s="10" t="s">
        <v>151</v>
      </c>
      <c r="B35" s="11" t="s">
        <v>152</v>
      </c>
      <c r="C35" s="12" t="s">
        <v>153</v>
      </c>
      <c r="D35" s="12" t="s">
        <v>154</v>
      </c>
      <c r="E35" s="13" t="s">
        <v>49</v>
      </c>
      <c r="F35" s="13">
        <v>5</v>
      </c>
      <c r="G35" s="14" t="s">
        <v>56</v>
      </c>
      <c r="H35" s="15">
        <f>IF(G35="N/A",0,F35*IF(G35="Full",1,IF(G35="Partial",0.5,0)))</f>
        <v>2.5</v>
      </c>
      <c r="I35" s="16" t="s">
        <v>155</v>
      </c>
    </row>
    <row r="36" spans="1:9" x14ac:dyDescent="0.3">
      <c r="A36" s="45" t="s">
        <v>156</v>
      </c>
      <c r="B36" s="43"/>
      <c r="C36" s="43"/>
      <c r="D36" s="43"/>
      <c r="E36" s="43"/>
      <c r="F36" s="43"/>
      <c r="G36" s="43"/>
      <c r="H36" s="44"/>
      <c r="I36" s="9">
        <v>10</v>
      </c>
    </row>
    <row r="37" spans="1:9" ht="28.5" customHeight="1" x14ac:dyDescent="0.3">
      <c r="A37" s="10" t="s">
        <v>157</v>
      </c>
      <c r="B37" s="11" t="s">
        <v>158</v>
      </c>
      <c r="C37" s="12" t="s">
        <v>159</v>
      </c>
      <c r="D37" s="12" t="s">
        <v>160</v>
      </c>
      <c r="E37" s="13" t="s">
        <v>49</v>
      </c>
      <c r="F37" s="13">
        <v>3</v>
      </c>
      <c r="G37" s="14" t="s">
        <v>50</v>
      </c>
      <c r="H37" s="15">
        <f>IF(G37="N/A",0,F37*IF(G37="Full",1,IF(G37="Partial",0.5,0)))</f>
        <v>0</v>
      </c>
      <c r="I37" s="16" t="s">
        <v>161</v>
      </c>
    </row>
    <row r="38" spans="1:9" ht="28.5" customHeight="1" x14ac:dyDescent="0.3">
      <c r="A38" s="10" t="s">
        <v>162</v>
      </c>
      <c r="B38" s="11" t="s">
        <v>163</v>
      </c>
      <c r="C38" s="12" t="s">
        <v>164</v>
      </c>
      <c r="D38" s="12" t="s">
        <v>165</v>
      </c>
      <c r="E38" s="13" t="s">
        <v>49</v>
      </c>
      <c r="F38" s="13">
        <v>3</v>
      </c>
      <c r="G38" s="14" t="s">
        <v>62</v>
      </c>
      <c r="H38" s="15">
        <f>IF(G38="N/A",0,F38*IF(G38="Full",1,IF(G38="Partial",0.5,0)))</f>
        <v>3</v>
      </c>
      <c r="I38" s="16" t="s">
        <v>166</v>
      </c>
    </row>
    <row r="39" spans="1:9" ht="28.5" customHeight="1" x14ac:dyDescent="0.3">
      <c r="A39" s="10" t="s">
        <v>167</v>
      </c>
      <c r="B39" s="11" t="s">
        <v>168</v>
      </c>
      <c r="C39" s="12" t="s">
        <v>169</v>
      </c>
      <c r="D39" s="12" t="s">
        <v>170</v>
      </c>
      <c r="E39" s="13" t="s">
        <v>68</v>
      </c>
      <c r="F39" s="13">
        <v>4</v>
      </c>
      <c r="G39" s="14" t="s">
        <v>50</v>
      </c>
      <c r="H39" s="15">
        <f>IF(G39="N/A",0,F39*IF(G39="Full",1,IF(G39="Partial",0.5,0)))</f>
        <v>0</v>
      </c>
      <c r="I39" s="16" t="s">
        <v>171</v>
      </c>
    </row>
    <row r="40" spans="1:9" x14ac:dyDescent="0.3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3">
      <c r="A41" s="3"/>
      <c r="B41" s="17" t="s">
        <v>172</v>
      </c>
      <c r="C41" s="18"/>
      <c r="D41" s="18"/>
      <c r="E41" s="18"/>
      <c r="F41" s="18"/>
      <c r="G41" s="3"/>
      <c r="H41" s="3"/>
      <c r="I41" s="3"/>
    </row>
    <row r="42" spans="1:9" x14ac:dyDescent="0.3">
      <c r="A42" s="3"/>
      <c r="B42" s="19" t="s">
        <v>173</v>
      </c>
      <c r="C42" s="19" t="s">
        <v>40</v>
      </c>
      <c r="D42" s="19" t="s">
        <v>174</v>
      </c>
      <c r="E42" s="19" t="s">
        <v>175</v>
      </c>
      <c r="F42" s="19" t="s">
        <v>176</v>
      </c>
      <c r="G42" s="3"/>
      <c r="H42" s="3"/>
      <c r="I42" s="3"/>
    </row>
    <row r="43" spans="1:9" x14ac:dyDescent="0.3">
      <c r="A43" s="3"/>
      <c r="B43" s="20" t="s">
        <v>177</v>
      </c>
      <c r="C43" s="21">
        <v>12</v>
      </c>
      <c r="D43" s="21">
        <f>SUMPRODUCT((G11:G14&lt;&gt;"N/A")*F11:F14)</f>
        <v>12</v>
      </c>
      <c r="E43" s="21">
        <f>SUM(H11:H14)</f>
        <v>7.5</v>
      </c>
      <c r="F43" s="21">
        <f t="shared" ref="F43:F49" si="0">IF(D43=0,"N/A",ROUND(E43/D43*100,0))</f>
        <v>63</v>
      </c>
      <c r="G43" s="3"/>
      <c r="H43" s="3"/>
      <c r="I43" s="3"/>
    </row>
    <row r="44" spans="1:9" x14ac:dyDescent="0.3">
      <c r="A44" s="3"/>
      <c r="B44" s="20" t="s">
        <v>178</v>
      </c>
      <c r="C44" s="21">
        <v>16</v>
      </c>
      <c r="D44" s="21">
        <f>SUMPRODUCT((G16:G19&lt;&gt;"N/A")*F16:F19)</f>
        <v>16</v>
      </c>
      <c r="E44" s="21">
        <f>SUM(H16:H19)</f>
        <v>4</v>
      </c>
      <c r="F44" s="21">
        <f t="shared" si="0"/>
        <v>25</v>
      </c>
      <c r="G44" s="3"/>
      <c r="H44" s="3"/>
      <c r="I44" s="3"/>
    </row>
    <row r="45" spans="1:9" x14ac:dyDescent="0.3">
      <c r="A45" s="3"/>
      <c r="B45" s="20" t="s">
        <v>179</v>
      </c>
      <c r="C45" s="21">
        <v>12</v>
      </c>
      <c r="D45" s="21">
        <f>SUMPRODUCT((G21:G23&lt;&gt;"N/A")*F21:F23)</f>
        <v>12</v>
      </c>
      <c r="E45" s="21">
        <f>SUM(H21:H23)</f>
        <v>6</v>
      </c>
      <c r="F45" s="21">
        <f t="shared" si="0"/>
        <v>50</v>
      </c>
      <c r="G45" s="3"/>
      <c r="H45" s="3"/>
      <c r="I45" s="3"/>
    </row>
    <row r="46" spans="1:9" x14ac:dyDescent="0.3">
      <c r="A46" s="3"/>
      <c r="B46" s="20" t="s">
        <v>180</v>
      </c>
      <c r="C46" s="21">
        <v>24</v>
      </c>
      <c r="D46" s="21">
        <f>SUMPRODUCT((G25:G28&lt;&gt;"N/A")*F25:F28)</f>
        <v>24</v>
      </c>
      <c r="E46" s="21">
        <f>SUM(H25:H28)</f>
        <v>18</v>
      </c>
      <c r="F46" s="21">
        <f t="shared" si="0"/>
        <v>75</v>
      </c>
      <c r="G46" s="3"/>
      <c r="H46" s="3"/>
      <c r="I46" s="3"/>
    </row>
    <row r="47" spans="1:9" x14ac:dyDescent="0.3">
      <c r="A47" s="3"/>
      <c r="B47" s="20" t="s">
        <v>181</v>
      </c>
      <c r="C47" s="21">
        <v>16</v>
      </c>
      <c r="D47" s="21">
        <f>SUMPRODUCT((G30:G32&lt;&gt;"N/A")*F30:F32)</f>
        <v>10</v>
      </c>
      <c r="E47" s="21">
        <f>SUM(H30:H32)</f>
        <v>3</v>
      </c>
      <c r="F47" s="21">
        <f t="shared" si="0"/>
        <v>30</v>
      </c>
      <c r="G47" s="3"/>
      <c r="H47" s="3"/>
      <c r="I47" s="3"/>
    </row>
    <row r="48" spans="1:9" x14ac:dyDescent="0.3">
      <c r="A48" s="3"/>
      <c r="B48" s="20" t="s">
        <v>182</v>
      </c>
      <c r="C48" s="21">
        <v>10</v>
      </c>
      <c r="D48" s="21">
        <f>SUMPRODUCT((G34:G35&lt;&gt;"N/A")*F34:F35)</f>
        <v>10</v>
      </c>
      <c r="E48" s="21">
        <f>SUM(H34:H35)</f>
        <v>5</v>
      </c>
      <c r="F48" s="21">
        <f t="shared" si="0"/>
        <v>50</v>
      </c>
      <c r="G48" s="3"/>
      <c r="H48" s="3"/>
      <c r="I48" s="3"/>
    </row>
    <row r="49" spans="1:9" x14ac:dyDescent="0.3">
      <c r="A49" s="3"/>
      <c r="B49" s="20" t="s">
        <v>183</v>
      </c>
      <c r="C49" s="21">
        <v>10</v>
      </c>
      <c r="D49" s="21">
        <f>SUMPRODUCT((G37:G39&lt;&gt;"N/A")*F37:F39)</f>
        <v>10</v>
      </c>
      <c r="E49" s="21">
        <f>SUM(H37:H39)</f>
        <v>3</v>
      </c>
      <c r="F49" s="21">
        <f t="shared" si="0"/>
        <v>30</v>
      </c>
      <c r="G49" s="3"/>
      <c r="H49" s="3"/>
      <c r="I49" s="3"/>
    </row>
    <row r="50" spans="1:9" x14ac:dyDescent="0.3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3">
      <c r="A51" s="3"/>
      <c r="B51" s="22" t="s">
        <v>184</v>
      </c>
      <c r="C51" s="3"/>
      <c r="D51" s="3"/>
      <c r="E51" s="3"/>
      <c r="F51" s="3"/>
      <c r="G51" s="3"/>
      <c r="H51" s="3"/>
      <c r="I51" s="3"/>
    </row>
    <row r="52" spans="1:9" x14ac:dyDescent="0.3">
      <c r="A52" s="19" t="s">
        <v>185</v>
      </c>
      <c r="B52" s="19" t="s">
        <v>186</v>
      </c>
      <c r="C52" s="18"/>
      <c r="D52" s="18"/>
      <c r="E52" s="19" t="s">
        <v>187</v>
      </c>
      <c r="F52" s="3"/>
      <c r="G52" s="3"/>
      <c r="H52" s="3"/>
      <c r="I52" s="3"/>
    </row>
    <row r="53" spans="1:9" ht="27.75" customHeight="1" x14ac:dyDescent="0.3">
      <c r="A53" s="23" t="s">
        <v>188</v>
      </c>
      <c r="B53" s="42" t="s">
        <v>189</v>
      </c>
      <c r="C53" s="43"/>
      <c r="D53" s="44"/>
      <c r="E53" s="24" t="s">
        <v>190</v>
      </c>
      <c r="F53" s="3"/>
      <c r="G53" s="3"/>
      <c r="H53" s="3"/>
      <c r="I53" s="3"/>
    </row>
    <row r="54" spans="1:9" ht="27.75" customHeight="1" x14ac:dyDescent="0.3">
      <c r="A54" s="23" t="s">
        <v>191</v>
      </c>
      <c r="B54" s="42" t="s">
        <v>192</v>
      </c>
      <c r="C54" s="43"/>
      <c r="D54" s="44"/>
      <c r="E54" s="24" t="s">
        <v>193</v>
      </c>
      <c r="F54" s="3"/>
      <c r="G54" s="3"/>
      <c r="H54" s="3"/>
      <c r="I54" s="3"/>
    </row>
    <row r="55" spans="1:9" ht="14.25" customHeight="1" x14ac:dyDescent="0.3">
      <c r="A55" s="23" t="s">
        <v>194</v>
      </c>
      <c r="B55" s="42" t="s">
        <v>195</v>
      </c>
      <c r="C55" s="43"/>
      <c r="D55" s="44"/>
      <c r="E55" s="24" t="s">
        <v>190</v>
      </c>
      <c r="F55" s="3"/>
      <c r="G55" s="3"/>
      <c r="H55" s="3"/>
      <c r="I55" s="3"/>
    </row>
    <row r="56" spans="1:9" ht="14.25" customHeight="1" x14ac:dyDescent="0.3">
      <c r="A56" s="23" t="s">
        <v>196</v>
      </c>
      <c r="B56" s="42" t="s">
        <v>197</v>
      </c>
      <c r="C56" s="43"/>
      <c r="D56" s="44"/>
      <c r="E56" s="24" t="s">
        <v>190</v>
      </c>
      <c r="F56" s="3"/>
      <c r="G56" s="3"/>
      <c r="H56" s="3"/>
      <c r="I56" s="3"/>
    </row>
    <row r="57" spans="1:9" ht="14.25" customHeight="1" x14ac:dyDescent="0.3">
      <c r="A57" s="23" t="s">
        <v>198</v>
      </c>
      <c r="B57" s="42" t="s">
        <v>199</v>
      </c>
      <c r="C57" s="43"/>
      <c r="D57" s="44"/>
      <c r="E57" s="24" t="s">
        <v>193</v>
      </c>
      <c r="F57" s="3"/>
      <c r="G57" s="3"/>
      <c r="H57" s="3"/>
      <c r="I57" s="3"/>
    </row>
    <row r="58" spans="1:9" ht="27.75" customHeight="1" x14ac:dyDescent="0.3">
      <c r="A58" s="23" t="s">
        <v>200</v>
      </c>
      <c r="B58" s="42" t="s">
        <v>201</v>
      </c>
      <c r="C58" s="43"/>
      <c r="D58" s="44"/>
      <c r="E58" s="24" t="s">
        <v>193</v>
      </c>
      <c r="F58" s="3"/>
      <c r="G58" s="3"/>
      <c r="H58" s="3"/>
      <c r="I58" s="3"/>
    </row>
    <row r="59" spans="1:9" ht="14.25" customHeight="1" x14ac:dyDescent="0.3">
      <c r="A59" s="23" t="s">
        <v>202</v>
      </c>
      <c r="B59" s="42" t="s">
        <v>203</v>
      </c>
      <c r="C59" s="43"/>
      <c r="D59" s="44"/>
      <c r="E59" s="24" t="s">
        <v>193</v>
      </c>
      <c r="F59" s="3"/>
      <c r="G59" s="3"/>
      <c r="H59" s="3"/>
      <c r="I59" s="3"/>
    </row>
    <row r="60" spans="1:9" x14ac:dyDescent="0.3">
      <c r="A60" s="18"/>
      <c r="B60" s="18"/>
      <c r="C60" s="18"/>
      <c r="D60" s="18"/>
      <c r="E60" s="18"/>
      <c r="F60" s="3"/>
      <c r="G60" s="3"/>
      <c r="H60" s="3"/>
      <c r="I60" s="3"/>
    </row>
    <row r="61" spans="1:9" x14ac:dyDescent="0.3">
      <c r="A61" s="18"/>
      <c r="B61" s="19" t="s">
        <v>204</v>
      </c>
      <c r="C61" s="18"/>
      <c r="D61" s="18"/>
      <c r="E61" s="25">
        <f>ROUND(SUM(E43:E49)/SUM(D43:D49)*100,1)</f>
        <v>49.5</v>
      </c>
      <c r="F61" s="3"/>
      <c r="G61" s="3"/>
      <c r="H61" s="3"/>
      <c r="I61" s="3"/>
    </row>
    <row r="62" spans="1:9" x14ac:dyDescent="0.3">
      <c r="A62" s="18"/>
      <c r="B62" s="19" t="s">
        <v>205</v>
      </c>
      <c r="C62" s="18"/>
      <c r="D62" s="18"/>
      <c r="E62" s="26" t="str">
        <f>IF(COUNTIF(E53:E59,"FAIL")&gt;0,"FAILED — INVALID",IF(COUNTIF(E53:E59,"PASS")=7,"ALL PASSED","PENDING — fill all gates"))</f>
        <v>FAILED — INVALID</v>
      </c>
      <c r="F62" s="3"/>
      <c r="G62" s="3"/>
      <c r="H62" s="3"/>
      <c r="I62" s="3"/>
    </row>
    <row r="63" spans="1:9" x14ac:dyDescent="0.3">
      <c r="A63" s="18"/>
      <c r="B63" s="19" t="s">
        <v>206</v>
      </c>
      <c r="C63" s="18"/>
      <c r="D63" s="18"/>
      <c r="E63" s="26" t="str">
        <f>IF(E61&gt;=90,"A — Excellent",IF(E61&gt;=75,"B — Pass",IF(E61&gt;=60,"C — Conditional","D — Fail")))</f>
        <v>D — Fail</v>
      </c>
      <c r="F63" s="3"/>
      <c r="G63" s="3"/>
      <c r="H63" s="3"/>
      <c r="I63" s="3"/>
    </row>
    <row r="64" spans="1:9" x14ac:dyDescent="0.3">
      <c r="A64" s="18"/>
      <c r="B64" s="19" t="s">
        <v>207</v>
      </c>
      <c r="C64" s="18"/>
      <c r="D64" s="18"/>
      <c r="E64" s="26" t="str">
        <f>IF(E62="FAILED — INVALID","INVALID — RE-CONDUCT FI",IF(E62&lt;&gt;"ALL PASSED","PENDING",IF(E61&gt;=75,"FI ACCEPTED — BM decision stands",IF(E61&gt;=60,"SUPPLEMENTARY CALL before CPA","RE-CONDUCT FI"))))</f>
        <v>INVALID — RE-CONDUCT FI</v>
      </c>
      <c r="F64" s="3"/>
      <c r="G64" s="3"/>
      <c r="H64" s="3"/>
      <c r="I64" s="3"/>
    </row>
    <row r="65" spans="1:9" x14ac:dyDescent="0.3">
      <c r="A65" s="18"/>
      <c r="B65" s="18"/>
      <c r="C65" s="18"/>
      <c r="D65" s="18"/>
      <c r="E65" s="18"/>
      <c r="F65" s="3"/>
      <c r="G65" s="3"/>
      <c r="H65" s="3"/>
      <c r="I65" s="3"/>
    </row>
    <row r="66" spans="1:9" x14ac:dyDescent="0.3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3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3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3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3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3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3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3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3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3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3">
      <c r="A76" s="3"/>
      <c r="B76" s="3"/>
      <c r="C76" s="3"/>
      <c r="D76" s="3"/>
      <c r="E76" s="3"/>
      <c r="F76" s="3"/>
      <c r="G76" s="3"/>
      <c r="H76" s="3"/>
      <c r="I76" s="3"/>
    </row>
    <row r="77" spans="1:9" x14ac:dyDescent="0.3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3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3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3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3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3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3">
      <c r="A83" s="3"/>
      <c r="B83" s="3"/>
      <c r="C83" s="3"/>
      <c r="D83" s="3"/>
      <c r="E83" s="3"/>
      <c r="F83" s="3"/>
      <c r="G83" s="3"/>
      <c r="H83" s="3"/>
      <c r="I83" s="3"/>
    </row>
  </sheetData>
  <mergeCells count="15">
    <mergeCell ref="A10:H10"/>
    <mergeCell ref="A1:I1"/>
    <mergeCell ref="B56:D56"/>
    <mergeCell ref="B58:D58"/>
    <mergeCell ref="A33:H33"/>
    <mergeCell ref="A36:H36"/>
    <mergeCell ref="B53:D53"/>
    <mergeCell ref="B55:D55"/>
    <mergeCell ref="B54:D54"/>
    <mergeCell ref="B59:D59"/>
    <mergeCell ref="A15:H15"/>
    <mergeCell ref="A29:H29"/>
    <mergeCell ref="A20:H20"/>
    <mergeCell ref="B57:D57"/>
    <mergeCell ref="A24:H24"/>
  </mergeCells>
  <dataValidations count="2">
    <dataValidation type="list" allowBlank="1" sqref="G11:G14 G16:G19 G21:G23 G25:G28 G30:G32 G34:G35 G37:G39" xr:uid="{00000000-0002-0000-0100-000000000000}">
      <formula1>"Full,Partial,None,N/A"</formula1>
      <formula2>0</formula2>
    </dataValidation>
    <dataValidation type="list" allowBlank="1" sqref="E53:E59" xr:uid="{00000000-0002-0000-0100-000001000000}">
      <formula1>"PASS,FAIL"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3"/>
  <sheetViews>
    <sheetView showGridLines="0" topLeftCell="A65" zoomScaleNormal="100" workbookViewId="0">
      <selection activeCell="C5" sqref="C5:D5"/>
    </sheetView>
  </sheetViews>
  <sheetFormatPr defaultColWidth="8.6640625" defaultRowHeight="14.4" x14ac:dyDescent="0.3"/>
  <cols>
    <col min="1" max="1" width="5" customWidth="1"/>
    <col min="2" max="2" width="34" customWidth="1"/>
    <col min="3" max="3" width="24" customWidth="1"/>
    <col min="4" max="6" width="18" customWidth="1"/>
    <col min="7" max="7" width="20" customWidth="1"/>
    <col min="8" max="8" width="42" customWidth="1"/>
  </cols>
  <sheetData>
    <row r="1" spans="1:8" ht="24" customHeight="1" x14ac:dyDescent="0.3">
      <c r="A1" s="57" t="s">
        <v>208</v>
      </c>
      <c r="B1" s="43"/>
      <c r="C1" s="43"/>
      <c r="D1" s="43"/>
      <c r="E1" s="43"/>
      <c r="F1" s="43"/>
      <c r="G1" s="43"/>
      <c r="H1" s="44"/>
    </row>
    <row r="2" spans="1:8" ht="63.75" customHeight="1" x14ac:dyDescent="0.3">
      <c r="A2" s="48" t="s">
        <v>209</v>
      </c>
      <c r="B2" s="43"/>
      <c r="C2" s="43"/>
      <c r="D2" s="43"/>
      <c r="E2" s="43"/>
      <c r="F2" s="43"/>
      <c r="G2" s="43"/>
      <c r="H2" s="44"/>
    </row>
    <row r="3" spans="1:8" x14ac:dyDescent="0.3">
      <c r="A3" s="33"/>
      <c r="B3" s="33"/>
      <c r="C3" s="33"/>
      <c r="D3" s="33"/>
      <c r="E3" s="33"/>
      <c r="F3" s="33"/>
      <c r="G3" s="33"/>
      <c r="H3" s="33"/>
    </row>
    <row r="4" spans="1:8" ht="15" customHeight="1" x14ac:dyDescent="0.3">
      <c r="A4" s="49" t="s">
        <v>22</v>
      </c>
      <c r="B4" s="44"/>
      <c r="C4" s="47" t="str">
        <f>IF(Scorecard!B2="","",Scorecard!B2)</f>
        <v>Not provided (application form not shared with evaluator)</v>
      </c>
      <c r="D4" s="44"/>
      <c r="E4" s="50" t="s">
        <v>210</v>
      </c>
      <c r="F4" s="44"/>
      <c r="G4" s="52">
        <f>IF(Scorecard!E61="","",Scorecard!E61)</f>
        <v>49.5</v>
      </c>
      <c r="H4" s="44"/>
    </row>
    <row r="5" spans="1:8" ht="15" customHeight="1" x14ac:dyDescent="0.3">
      <c r="A5" s="49" t="s">
        <v>26</v>
      </c>
      <c r="B5" s="44"/>
      <c r="C5" s="47" t="str">
        <f>IF(Scorecard!B3="","",Scorecard!B3)</f>
        <v>Not clearly captured on audio (male borrower; dairy/milk-aggregation business, village near Biaora/Bhyavra)</v>
      </c>
      <c r="D5" s="44"/>
      <c r="E5" s="50" t="s">
        <v>211</v>
      </c>
      <c r="F5" s="44"/>
      <c r="G5" s="52" t="str">
        <f>IF(Scorecard!E63="","",Scorecard!E63)</f>
        <v>D — Fail</v>
      </c>
      <c r="H5" s="44"/>
    </row>
    <row r="6" spans="1:8" ht="15" customHeight="1" x14ac:dyDescent="0.3">
      <c r="A6" s="49" t="s">
        <v>28</v>
      </c>
      <c r="B6" s="44"/>
      <c r="C6" s="47" t="str">
        <f>IF(Scorecard!B4="","",Scorecard!B4)</f>
        <v>Lalit Gujar (self-introduced ~0:05, Prodigee Finance branch, Bhyavra/Biaora)</v>
      </c>
      <c r="D6" s="44"/>
      <c r="E6" s="50" t="s">
        <v>212</v>
      </c>
      <c r="F6" s="44"/>
      <c r="G6" s="52" t="str">
        <f>IF(Scorecard!E62="","",Scorecard!E62)</f>
        <v>FAILED — INVALID</v>
      </c>
      <c r="H6" s="44"/>
    </row>
    <row r="7" spans="1:8" ht="15" customHeight="1" x14ac:dyDescent="0.3">
      <c r="A7" s="49" t="s">
        <v>30</v>
      </c>
      <c r="B7" s="44"/>
      <c r="C7" s="47" t="str">
        <f>IF(Scorecard!B5="","",Scorecard!B5)</f>
        <v>17-Aug-2026 (from recording file metadata)</v>
      </c>
      <c r="D7" s="44"/>
      <c r="E7" s="50" t="s">
        <v>213</v>
      </c>
      <c r="F7" s="44"/>
      <c r="G7" s="52" t="str">
        <f>IF(Scorecard!E64="","",Scorecard!E64)</f>
        <v>INVALID — RE-CONDUCT FI</v>
      </c>
      <c r="H7" s="44"/>
    </row>
    <row r="8" spans="1:8" ht="15" customHeight="1" x14ac:dyDescent="0.3">
      <c r="A8" s="49" t="s">
        <v>33</v>
      </c>
      <c r="B8" s="44"/>
      <c r="C8" s="47" t="str">
        <f>IF(Scorecard!B7="","",Scorecard!B7)</f>
        <v>800,000 (as stated by customer ~4:45; application amount not provided)</v>
      </c>
      <c r="D8" s="44"/>
      <c r="E8" s="50" t="s">
        <v>32</v>
      </c>
      <c r="F8" s="44"/>
      <c r="G8" s="52">
        <f>IF(Scorecard!B6="","",Scorecard!B6)</f>
        <v>8.5</v>
      </c>
      <c r="H8" s="44"/>
    </row>
    <row r="9" spans="1:8" ht="13.5" customHeight="1" x14ac:dyDescent="0.3">
      <c r="A9" s="51" t="s">
        <v>214</v>
      </c>
      <c r="B9" s="43"/>
      <c r="C9" s="43"/>
      <c r="D9" s="43"/>
      <c r="E9" s="43"/>
      <c r="F9" s="43"/>
      <c r="G9" s="43"/>
      <c r="H9" s="44"/>
    </row>
    <row r="10" spans="1:8" x14ac:dyDescent="0.3">
      <c r="A10" s="33"/>
      <c r="B10" s="33"/>
      <c r="C10" s="33"/>
      <c r="D10" s="33"/>
      <c r="E10" s="33"/>
      <c r="F10" s="33"/>
      <c r="G10" s="33"/>
      <c r="H10" s="33"/>
    </row>
    <row r="11" spans="1:8" ht="18" customHeight="1" x14ac:dyDescent="0.3">
      <c r="A11" s="54" t="s">
        <v>215</v>
      </c>
      <c r="B11" s="43"/>
      <c r="C11" s="43"/>
      <c r="D11" s="43"/>
      <c r="E11" s="43"/>
      <c r="F11" s="43"/>
      <c r="G11" s="43"/>
      <c r="H11" s="44"/>
    </row>
    <row r="12" spans="1:8" ht="27.75" customHeight="1" x14ac:dyDescent="0.3">
      <c r="A12" s="48" t="s">
        <v>216</v>
      </c>
      <c r="B12" s="43"/>
      <c r="C12" s="43"/>
      <c r="D12" s="43"/>
      <c r="E12" s="43"/>
      <c r="F12" s="43"/>
      <c r="G12" s="43"/>
      <c r="H12" s="44"/>
    </row>
    <row r="13" spans="1:8" ht="21.75" customHeight="1" x14ac:dyDescent="0.3">
      <c r="A13" s="59" t="s">
        <v>217</v>
      </c>
      <c r="B13" s="60"/>
      <c r="C13" s="60"/>
      <c r="D13" s="60"/>
      <c r="E13" s="60"/>
      <c r="F13" s="60"/>
      <c r="G13" s="60"/>
      <c r="H13" s="61"/>
    </row>
    <row r="14" spans="1:8" ht="21.75" customHeight="1" x14ac:dyDescent="0.3">
      <c r="A14" s="62"/>
      <c r="B14" s="40"/>
      <c r="C14" s="40"/>
      <c r="D14" s="40"/>
      <c r="E14" s="40"/>
      <c r="F14" s="40"/>
      <c r="G14" s="40"/>
      <c r="H14" s="63"/>
    </row>
    <row r="15" spans="1:8" ht="21.75" customHeight="1" x14ac:dyDescent="0.3">
      <c r="A15" s="64"/>
      <c r="B15" s="65"/>
      <c r="C15" s="65"/>
      <c r="D15" s="65"/>
      <c r="E15" s="65"/>
      <c r="F15" s="65"/>
      <c r="G15" s="65"/>
      <c r="H15" s="66"/>
    </row>
    <row r="16" spans="1:8" x14ac:dyDescent="0.3">
      <c r="A16" s="33"/>
      <c r="B16" s="33"/>
      <c r="C16" s="33"/>
      <c r="D16" s="33"/>
      <c r="E16" s="33"/>
      <c r="F16" s="33"/>
      <c r="G16" s="33"/>
      <c r="H16" s="33"/>
    </row>
    <row r="17" spans="1:8" ht="18" customHeight="1" x14ac:dyDescent="0.3">
      <c r="A17" s="54" t="s">
        <v>218</v>
      </c>
      <c r="B17" s="43"/>
      <c r="C17" s="43"/>
      <c r="D17" s="43"/>
      <c r="E17" s="43"/>
      <c r="F17" s="43"/>
      <c r="G17" s="43"/>
      <c r="H17" s="44"/>
    </row>
    <row r="18" spans="1:8" ht="48" customHeight="1" x14ac:dyDescent="0.3">
      <c r="A18" s="49" t="s">
        <v>219</v>
      </c>
      <c r="B18" s="44"/>
      <c r="C18" s="46" t="s">
        <v>220</v>
      </c>
      <c r="D18" s="43"/>
      <c r="E18" s="43"/>
      <c r="F18" s="43"/>
      <c r="G18" s="43"/>
      <c r="H18" s="44"/>
    </row>
    <row r="19" spans="1:8" ht="33.75" customHeight="1" x14ac:dyDescent="0.3">
      <c r="A19" s="49" t="s">
        <v>221</v>
      </c>
      <c r="B19" s="44"/>
      <c r="C19" s="46" t="s">
        <v>222</v>
      </c>
      <c r="D19" s="43"/>
      <c r="E19" s="43"/>
      <c r="F19" s="43"/>
      <c r="G19" s="43"/>
      <c r="H19" s="44"/>
    </row>
    <row r="20" spans="1:8" ht="48" customHeight="1" x14ac:dyDescent="0.3">
      <c r="A20" s="49" t="s">
        <v>223</v>
      </c>
      <c r="B20" s="44"/>
      <c r="C20" s="46" t="s">
        <v>224</v>
      </c>
      <c r="D20" s="43"/>
      <c r="E20" s="43"/>
      <c r="F20" s="43"/>
      <c r="G20" s="43"/>
      <c r="H20" s="44"/>
    </row>
    <row r="21" spans="1:8" ht="48" customHeight="1" x14ac:dyDescent="0.3">
      <c r="A21" s="49" t="s">
        <v>225</v>
      </c>
      <c r="B21" s="44"/>
      <c r="C21" s="46" t="s">
        <v>226</v>
      </c>
      <c r="D21" s="43"/>
      <c r="E21" s="43"/>
      <c r="F21" s="43"/>
      <c r="G21" s="43"/>
      <c r="H21" s="44"/>
    </row>
    <row r="22" spans="1:8" ht="33.75" customHeight="1" x14ac:dyDescent="0.3">
      <c r="A22" s="49" t="s">
        <v>227</v>
      </c>
      <c r="B22" s="44"/>
      <c r="C22" s="53">
        <v>800000</v>
      </c>
      <c r="D22" s="44"/>
      <c r="E22" s="52"/>
      <c r="F22" s="43"/>
      <c r="G22" s="43"/>
      <c r="H22" s="44"/>
    </row>
    <row r="23" spans="1:8" ht="19.5" customHeight="1" x14ac:dyDescent="0.3">
      <c r="A23" s="49" t="s">
        <v>228</v>
      </c>
      <c r="B23" s="44"/>
      <c r="C23" s="53"/>
      <c r="D23" s="44"/>
      <c r="E23" s="52" t="str">
        <f>IF(OR(C23=0,C22=0),"— enter both amounts",IF(ABS(C22-C23)/C23&lt;=0.1,"Within ±10% — Gate K5 OK","OUTSIDE ±10% → FI-RF-2 — reconcile with RM"))</f>
        <v>— enter both amounts</v>
      </c>
      <c r="F23" s="43"/>
      <c r="G23" s="43"/>
      <c r="H23" s="44"/>
    </row>
    <row r="24" spans="1:8" ht="33.75" customHeight="1" x14ac:dyDescent="0.3">
      <c r="A24" s="49" t="s">
        <v>229</v>
      </c>
      <c r="B24" s="44"/>
      <c r="C24" s="46" t="s">
        <v>230</v>
      </c>
      <c r="D24" s="43"/>
      <c r="E24" s="43"/>
      <c r="F24" s="43"/>
      <c r="G24" s="43"/>
      <c r="H24" s="44"/>
    </row>
    <row r="25" spans="1:8" ht="33.75" customHeight="1" x14ac:dyDescent="0.3">
      <c r="A25" s="49" t="s">
        <v>231</v>
      </c>
      <c r="B25" s="44"/>
      <c r="C25" s="46" t="s">
        <v>232</v>
      </c>
      <c r="D25" s="43"/>
      <c r="E25" s="43"/>
      <c r="F25" s="43"/>
      <c r="G25" s="43"/>
      <c r="H25" s="44"/>
    </row>
    <row r="26" spans="1:8" x14ac:dyDescent="0.3">
      <c r="A26" s="33"/>
      <c r="B26" s="33"/>
      <c r="C26" s="33"/>
      <c r="D26" s="33"/>
      <c r="E26" s="33"/>
      <c r="F26" s="33"/>
      <c r="G26" s="33"/>
      <c r="H26" s="33"/>
    </row>
    <row r="27" spans="1:8" ht="18" customHeight="1" x14ac:dyDescent="0.3">
      <c r="A27" s="54" t="s">
        <v>233</v>
      </c>
      <c r="B27" s="43"/>
      <c r="C27" s="43"/>
      <c r="D27" s="43"/>
      <c r="E27" s="43"/>
      <c r="F27" s="43"/>
      <c r="G27" s="43"/>
      <c r="H27" s="44"/>
    </row>
    <row r="28" spans="1:8" ht="48" customHeight="1" x14ac:dyDescent="0.3">
      <c r="A28" s="49" t="s">
        <v>234</v>
      </c>
      <c r="B28" s="44"/>
      <c r="C28" s="46" t="s">
        <v>235</v>
      </c>
      <c r="D28" s="43"/>
      <c r="E28" s="43"/>
      <c r="F28" s="43"/>
      <c r="G28" s="43"/>
      <c r="H28" s="44"/>
    </row>
    <row r="29" spans="1:8" ht="48" customHeight="1" x14ac:dyDescent="0.3">
      <c r="A29" s="49" t="s">
        <v>236</v>
      </c>
      <c r="B29" s="44"/>
      <c r="C29" s="46" t="s">
        <v>237</v>
      </c>
      <c r="D29" s="43"/>
      <c r="E29" s="43"/>
      <c r="F29" s="43"/>
      <c r="G29" s="43"/>
      <c r="H29" s="44"/>
    </row>
    <row r="30" spans="1:8" ht="48" customHeight="1" x14ac:dyDescent="0.3">
      <c r="A30" s="49" t="s">
        <v>238</v>
      </c>
      <c r="B30" s="44"/>
      <c r="C30" s="46" t="s">
        <v>239</v>
      </c>
      <c r="D30" s="43"/>
      <c r="E30" s="43"/>
      <c r="F30" s="43"/>
      <c r="G30" s="43"/>
      <c r="H30" s="44"/>
    </row>
    <row r="31" spans="1:8" ht="48" customHeight="1" x14ac:dyDescent="0.3">
      <c r="A31" s="49" t="s">
        <v>240</v>
      </c>
      <c r="B31" s="44"/>
      <c r="C31" s="46" t="s">
        <v>241</v>
      </c>
      <c r="D31" s="43"/>
      <c r="E31" s="43"/>
      <c r="F31" s="43"/>
      <c r="G31" s="43"/>
      <c r="H31" s="44"/>
    </row>
    <row r="32" spans="1:8" ht="33.75" customHeight="1" x14ac:dyDescent="0.3">
      <c r="A32" s="49" t="s">
        <v>242</v>
      </c>
      <c r="B32" s="44"/>
      <c r="C32" s="46" t="s">
        <v>243</v>
      </c>
      <c r="D32" s="43"/>
      <c r="E32" s="43"/>
      <c r="F32" s="43"/>
      <c r="G32" s="43"/>
      <c r="H32" s="44"/>
    </row>
    <row r="33" spans="1:8" ht="33.75" customHeight="1" x14ac:dyDescent="0.3">
      <c r="A33" s="49" t="s">
        <v>244</v>
      </c>
      <c r="B33" s="44"/>
      <c r="C33" s="46" t="s">
        <v>245</v>
      </c>
      <c r="D33" s="43"/>
      <c r="E33" s="43"/>
      <c r="F33" s="43"/>
      <c r="G33" s="43"/>
      <c r="H33" s="44"/>
    </row>
    <row r="34" spans="1:8" x14ac:dyDescent="0.3">
      <c r="A34" s="33"/>
      <c r="B34" s="33"/>
      <c r="C34" s="33"/>
      <c r="D34" s="33"/>
      <c r="E34" s="33"/>
      <c r="F34" s="33"/>
      <c r="G34" s="33"/>
      <c r="H34" s="33"/>
    </row>
    <row r="35" spans="1:8" ht="18" customHeight="1" x14ac:dyDescent="0.3">
      <c r="A35" s="54" t="s">
        <v>246</v>
      </c>
      <c r="B35" s="43"/>
      <c r="C35" s="43"/>
      <c r="D35" s="43"/>
      <c r="E35" s="43"/>
      <c r="F35" s="43"/>
      <c r="G35" s="43"/>
      <c r="H35" s="44"/>
    </row>
    <row r="36" spans="1:8" ht="25.5" customHeight="1" x14ac:dyDescent="0.3">
      <c r="A36" s="48" t="s">
        <v>247</v>
      </c>
      <c r="B36" s="43"/>
      <c r="C36" s="43"/>
      <c r="D36" s="43"/>
      <c r="E36" s="43"/>
      <c r="F36" s="43"/>
      <c r="G36" s="43"/>
      <c r="H36" s="44"/>
    </row>
    <row r="37" spans="1:8" ht="30" customHeight="1" x14ac:dyDescent="0.3">
      <c r="A37" s="35" t="s">
        <v>248</v>
      </c>
      <c r="B37" s="35" t="s">
        <v>249</v>
      </c>
      <c r="C37" s="35" t="s">
        <v>250</v>
      </c>
      <c r="D37" s="35" t="s">
        <v>251</v>
      </c>
      <c r="E37" s="35" t="s">
        <v>252</v>
      </c>
      <c r="F37" s="35" t="s">
        <v>253</v>
      </c>
      <c r="G37" s="35" t="s">
        <v>254</v>
      </c>
      <c r="H37" s="35" t="s">
        <v>255</v>
      </c>
    </row>
    <row r="38" spans="1:8" ht="57.6" x14ac:dyDescent="0.3">
      <c r="A38" s="36">
        <v>1</v>
      </c>
      <c r="B38" s="34" t="s">
        <v>256</v>
      </c>
      <c r="C38" s="34" t="s">
        <v>257</v>
      </c>
      <c r="D38" s="37"/>
      <c r="E38" s="34" t="s">
        <v>258</v>
      </c>
      <c r="F38" s="34" t="s">
        <v>259</v>
      </c>
      <c r="G38" s="34" t="s">
        <v>260</v>
      </c>
      <c r="H38" s="34" t="s">
        <v>261</v>
      </c>
    </row>
    <row r="39" spans="1:8" ht="43.2" x14ac:dyDescent="0.3">
      <c r="A39" s="36">
        <v>2</v>
      </c>
      <c r="B39" s="34" t="s">
        <v>262</v>
      </c>
      <c r="C39" s="34" t="s">
        <v>263</v>
      </c>
      <c r="D39" s="37"/>
      <c r="E39" s="34" t="s">
        <v>258</v>
      </c>
      <c r="F39" s="34" t="s">
        <v>264</v>
      </c>
      <c r="G39" s="34" t="s">
        <v>265</v>
      </c>
      <c r="H39" s="34" t="s">
        <v>266</v>
      </c>
    </row>
    <row r="40" spans="1:8" ht="43.2" x14ac:dyDescent="0.3">
      <c r="A40" s="36">
        <v>3</v>
      </c>
      <c r="B40" s="34" t="s">
        <v>267</v>
      </c>
      <c r="C40" s="34" t="s">
        <v>268</v>
      </c>
      <c r="D40" s="37"/>
      <c r="E40" s="34" t="s">
        <v>258</v>
      </c>
      <c r="F40" s="34" t="s">
        <v>269</v>
      </c>
      <c r="G40" s="34" t="s">
        <v>270</v>
      </c>
      <c r="H40" s="34" t="s">
        <v>271</v>
      </c>
    </row>
    <row r="41" spans="1:8" ht="43.2" x14ac:dyDescent="0.3">
      <c r="A41" s="36">
        <v>4</v>
      </c>
      <c r="B41" s="34" t="s">
        <v>272</v>
      </c>
      <c r="C41" s="34" t="s">
        <v>273</v>
      </c>
      <c r="D41" s="37"/>
      <c r="E41" s="34" t="s">
        <v>258</v>
      </c>
      <c r="F41" s="34" t="s">
        <v>274</v>
      </c>
      <c r="G41" s="34" t="s">
        <v>68</v>
      </c>
      <c r="H41" s="34" t="s">
        <v>275</v>
      </c>
    </row>
    <row r="42" spans="1:8" x14ac:dyDescent="0.3">
      <c r="A42" s="36">
        <v>5</v>
      </c>
      <c r="B42" s="34"/>
      <c r="C42" s="34"/>
      <c r="D42" s="37"/>
      <c r="E42" s="34"/>
      <c r="F42" s="34"/>
      <c r="G42" s="34"/>
      <c r="H42" s="34"/>
    </row>
    <row r="43" spans="1:8" ht="15" customHeight="1" x14ac:dyDescent="0.3">
      <c r="A43" s="50" t="s">
        <v>276</v>
      </c>
      <c r="B43" s="43"/>
      <c r="C43" s="44"/>
      <c r="D43" s="38">
        <f>SUM(D38:D42)</f>
        <v>0</v>
      </c>
      <c r="E43" s="58" t="s">
        <v>277</v>
      </c>
      <c r="F43" s="43"/>
      <c r="G43" s="43"/>
      <c r="H43" s="44"/>
    </row>
    <row r="44" spans="1:8" ht="33.75" customHeight="1" x14ac:dyDescent="0.3">
      <c r="A44" s="49" t="s">
        <v>278</v>
      </c>
      <c r="B44" s="44"/>
      <c r="C44" s="53"/>
      <c r="D44" s="44"/>
      <c r="E44" s="52" t="str">
        <f>IF(C44=0,"— enter",IF(C44&gt;=30000,"Policy gate ≥ ₹30,000 MET","BELOW ₹30,000 GATE → FI-RF-5 — REJECT at BM stage"))</f>
        <v>— enter</v>
      </c>
      <c r="F44" s="43"/>
      <c r="G44" s="43"/>
      <c r="H44" s="44"/>
    </row>
    <row r="45" spans="1:8" ht="33.75" customHeight="1" x14ac:dyDescent="0.3">
      <c r="A45" s="49" t="s">
        <v>279</v>
      </c>
      <c r="B45" s="44"/>
      <c r="C45" s="53"/>
      <c r="D45" s="44"/>
      <c r="E45" s="52" t="str">
        <f>IF(C45=0,"— enter",IF(C45&gt;=15000,"Policy gate ≥ ₹15,000 MET","BELOW ₹15,000 GATE → FI-RF-5 — REJECT at BM stage"))</f>
        <v>— enter</v>
      </c>
      <c r="F45" s="43"/>
      <c r="G45" s="43"/>
      <c r="H45" s="44"/>
    </row>
    <row r="46" spans="1:8" ht="48" customHeight="1" x14ac:dyDescent="0.3">
      <c r="A46" s="49" t="s">
        <v>280</v>
      </c>
      <c r="B46" s="44"/>
      <c r="C46" s="46" t="s">
        <v>281</v>
      </c>
      <c r="D46" s="43"/>
      <c r="E46" s="43"/>
      <c r="F46" s="43"/>
      <c r="G46" s="43"/>
      <c r="H46" s="44"/>
    </row>
    <row r="47" spans="1:8" ht="48" customHeight="1" x14ac:dyDescent="0.3">
      <c r="A47" s="49" t="s">
        <v>282</v>
      </c>
      <c r="B47" s="44"/>
      <c r="C47" s="46" t="s">
        <v>283</v>
      </c>
      <c r="D47" s="43"/>
      <c r="E47" s="43"/>
      <c r="F47" s="43"/>
      <c r="G47" s="43"/>
      <c r="H47" s="44"/>
    </row>
    <row r="48" spans="1:8" x14ac:dyDescent="0.3">
      <c r="A48" s="33"/>
      <c r="B48" s="33"/>
      <c r="C48" s="33"/>
      <c r="D48" s="33"/>
      <c r="E48" s="33"/>
      <c r="F48" s="33"/>
      <c r="G48" s="33"/>
      <c r="H48" s="33"/>
    </row>
    <row r="49" spans="1:8" ht="13.5" customHeight="1" x14ac:dyDescent="0.3">
      <c r="A49" s="48" t="s">
        <v>284</v>
      </c>
      <c r="B49" s="43"/>
      <c r="C49" s="43"/>
      <c r="D49" s="43"/>
      <c r="E49" s="43"/>
      <c r="F49" s="43"/>
      <c r="G49" s="43"/>
      <c r="H49" s="44"/>
    </row>
    <row r="50" spans="1:8" ht="30" customHeight="1" x14ac:dyDescent="0.3">
      <c r="A50" s="35" t="s">
        <v>248</v>
      </c>
      <c r="B50" s="35" t="s">
        <v>285</v>
      </c>
      <c r="C50" s="35" t="s">
        <v>286</v>
      </c>
      <c r="D50" s="35" t="s">
        <v>287</v>
      </c>
      <c r="E50" s="35" t="s">
        <v>288</v>
      </c>
      <c r="F50" s="35" t="s">
        <v>289</v>
      </c>
      <c r="G50" s="35" t="s">
        <v>290</v>
      </c>
      <c r="H50" s="35" t="s">
        <v>291</v>
      </c>
    </row>
    <row r="51" spans="1:8" ht="72" x14ac:dyDescent="0.3">
      <c r="A51" s="36">
        <v>1</v>
      </c>
      <c r="B51" s="34" t="s">
        <v>292</v>
      </c>
      <c r="C51" s="34" t="s">
        <v>257</v>
      </c>
      <c r="D51" s="37"/>
      <c r="E51" s="34" t="s">
        <v>293</v>
      </c>
      <c r="F51" s="34" t="s">
        <v>293</v>
      </c>
      <c r="G51" s="34" t="s">
        <v>294</v>
      </c>
      <c r="H51" s="34" t="s">
        <v>295</v>
      </c>
    </row>
    <row r="52" spans="1:8" x14ac:dyDescent="0.3">
      <c r="A52" s="36">
        <v>2</v>
      </c>
      <c r="B52" s="34"/>
      <c r="C52" s="34"/>
      <c r="D52" s="37"/>
      <c r="E52" s="34"/>
      <c r="F52" s="34"/>
      <c r="G52" s="34"/>
      <c r="H52" s="34"/>
    </row>
    <row r="53" spans="1:8" x14ac:dyDescent="0.3">
      <c r="A53" s="36">
        <v>3</v>
      </c>
      <c r="B53" s="34"/>
      <c r="C53" s="34"/>
      <c r="D53" s="37"/>
      <c r="E53" s="34"/>
      <c r="F53" s="34"/>
      <c r="G53" s="34"/>
      <c r="H53" s="34"/>
    </row>
    <row r="54" spans="1:8" x14ac:dyDescent="0.3">
      <c r="A54" s="36">
        <v>4</v>
      </c>
      <c r="B54" s="34"/>
      <c r="C54" s="34"/>
      <c r="D54" s="37"/>
      <c r="E54" s="34"/>
      <c r="F54" s="34"/>
      <c r="G54" s="34"/>
      <c r="H54" s="34"/>
    </row>
    <row r="55" spans="1:8" x14ac:dyDescent="0.3">
      <c r="A55" s="36">
        <v>5</v>
      </c>
      <c r="B55" s="34"/>
      <c r="C55" s="34"/>
      <c r="D55" s="37"/>
      <c r="E55" s="34"/>
      <c r="F55" s="34"/>
      <c r="G55" s="34"/>
      <c r="H55" s="34"/>
    </row>
    <row r="56" spans="1:8" ht="15" customHeight="1" x14ac:dyDescent="0.3">
      <c r="A56" s="50" t="s">
        <v>296</v>
      </c>
      <c r="B56" s="43"/>
      <c r="C56" s="44"/>
      <c r="D56" s="38">
        <f>SUM(D51:D55)</f>
        <v>0</v>
      </c>
      <c r="E56" s="58" t="s">
        <v>297</v>
      </c>
      <c r="F56" s="43"/>
      <c r="G56" s="43"/>
      <c r="H56" s="44"/>
    </row>
    <row r="57" spans="1:8" ht="48" customHeight="1" x14ac:dyDescent="0.3">
      <c r="A57" s="49" t="s">
        <v>298</v>
      </c>
      <c r="B57" s="44"/>
      <c r="C57" s="46" t="s">
        <v>299</v>
      </c>
      <c r="D57" s="43"/>
      <c r="E57" s="43"/>
      <c r="F57" s="43"/>
      <c r="G57" s="43"/>
      <c r="H57" s="44"/>
    </row>
    <row r="58" spans="1:8" ht="48" customHeight="1" x14ac:dyDescent="0.3">
      <c r="A58" s="49" t="s">
        <v>300</v>
      </c>
      <c r="B58" s="44"/>
      <c r="C58" s="46" t="s">
        <v>301</v>
      </c>
      <c r="D58" s="43"/>
      <c r="E58" s="43"/>
      <c r="F58" s="43"/>
      <c r="G58" s="43"/>
      <c r="H58" s="44"/>
    </row>
    <row r="59" spans="1:8" ht="33.75" customHeight="1" x14ac:dyDescent="0.3">
      <c r="A59" s="49" t="s">
        <v>302</v>
      </c>
      <c r="B59" s="44"/>
      <c r="C59" s="46" t="s">
        <v>303</v>
      </c>
      <c r="D59" s="43"/>
      <c r="E59" s="43"/>
      <c r="F59" s="43"/>
      <c r="G59" s="43"/>
      <c r="H59" s="44"/>
    </row>
    <row r="60" spans="1:8" x14ac:dyDescent="0.3">
      <c r="A60" s="33"/>
      <c r="B60" s="33"/>
      <c r="C60" s="33"/>
      <c r="D60" s="33"/>
      <c r="E60" s="33"/>
      <c r="F60" s="33"/>
      <c r="G60" s="33"/>
      <c r="H60" s="33"/>
    </row>
    <row r="61" spans="1:8" ht="13.5" customHeight="1" x14ac:dyDescent="0.3">
      <c r="A61" s="48" t="s">
        <v>304</v>
      </c>
      <c r="B61" s="43"/>
      <c r="C61" s="43"/>
      <c r="D61" s="43"/>
      <c r="E61" s="43"/>
      <c r="F61" s="43"/>
      <c r="G61" s="43"/>
      <c r="H61" s="44"/>
    </row>
    <row r="62" spans="1:8" ht="33.75" customHeight="1" x14ac:dyDescent="0.3">
      <c r="A62" s="49" t="s">
        <v>305</v>
      </c>
      <c r="B62" s="44"/>
      <c r="C62" s="46" t="s">
        <v>306</v>
      </c>
      <c r="D62" s="43"/>
      <c r="E62" s="43"/>
      <c r="F62" s="43"/>
      <c r="G62" s="43"/>
      <c r="H62" s="44"/>
    </row>
    <row r="63" spans="1:8" ht="48" customHeight="1" x14ac:dyDescent="0.3">
      <c r="A63" s="49" t="s">
        <v>307</v>
      </c>
      <c r="B63" s="44"/>
      <c r="C63" s="46" t="s">
        <v>308</v>
      </c>
      <c r="D63" s="43"/>
      <c r="E63" s="43"/>
      <c r="F63" s="43"/>
      <c r="G63" s="43"/>
      <c r="H63" s="44"/>
    </row>
    <row r="64" spans="1:8" x14ac:dyDescent="0.3">
      <c r="A64" s="33"/>
      <c r="B64" s="33"/>
      <c r="C64" s="33"/>
      <c r="D64" s="33"/>
      <c r="E64" s="33"/>
      <c r="F64" s="33"/>
      <c r="G64" s="33"/>
      <c r="H64" s="33"/>
    </row>
    <row r="65" spans="1:8" ht="18" customHeight="1" x14ac:dyDescent="0.3">
      <c r="A65" s="54" t="s">
        <v>309</v>
      </c>
      <c r="B65" s="43"/>
      <c r="C65" s="43"/>
      <c r="D65" s="43"/>
      <c r="E65" s="43"/>
      <c r="F65" s="43"/>
      <c r="G65" s="43"/>
      <c r="H65" s="44"/>
    </row>
    <row r="66" spans="1:8" ht="33.75" customHeight="1" x14ac:dyDescent="0.3">
      <c r="A66" s="49" t="s">
        <v>310</v>
      </c>
      <c r="B66" s="44"/>
      <c r="C66" s="46" t="s">
        <v>311</v>
      </c>
      <c r="D66" s="43"/>
      <c r="E66" s="43"/>
      <c r="F66" s="43"/>
      <c r="G66" s="43"/>
      <c r="H66" s="44"/>
    </row>
    <row r="67" spans="1:8" ht="33.75" customHeight="1" x14ac:dyDescent="0.3">
      <c r="A67" s="49" t="s">
        <v>312</v>
      </c>
      <c r="B67" s="44"/>
      <c r="C67" s="46" t="s">
        <v>313</v>
      </c>
      <c r="D67" s="43"/>
      <c r="E67" s="43"/>
      <c r="F67" s="43"/>
      <c r="G67" s="43"/>
      <c r="H67" s="44"/>
    </row>
    <row r="68" spans="1:8" ht="48" customHeight="1" x14ac:dyDescent="0.3">
      <c r="A68" s="49" t="s">
        <v>314</v>
      </c>
      <c r="B68" s="44"/>
      <c r="C68" s="46" t="s">
        <v>315</v>
      </c>
      <c r="D68" s="43"/>
      <c r="E68" s="43"/>
      <c r="F68" s="43"/>
      <c r="G68" s="43"/>
      <c r="H68" s="44"/>
    </row>
    <row r="69" spans="1:8" ht="48" customHeight="1" x14ac:dyDescent="0.3">
      <c r="A69" s="49" t="s">
        <v>316</v>
      </c>
      <c r="B69" s="44"/>
      <c r="C69" s="46" t="s">
        <v>317</v>
      </c>
      <c r="D69" s="43"/>
      <c r="E69" s="43"/>
      <c r="F69" s="43"/>
      <c r="G69" s="43"/>
      <c r="H69" s="44"/>
    </row>
    <row r="70" spans="1:8" ht="48" customHeight="1" x14ac:dyDescent="0.3">
      <c r="A70" s="49" t="s">
        <v>318</v>
      </c>
      <c r="B70" s="44"/>
      <c r="C70" s="46" t="s">
        <v>319</v>
      </c>
      <c r="D70" s="43"/>
      <c r="E70" s="43"/>
      <c r="F70" s="43"/>
      <c r="G70" s="43"/>
      <c r="H70" s="44"/>
    </row>
    <row r="71" spans="1:8" ht="19.5" customHeight="1" x14ac:dyDescent="0.3">
      <c r="A71" s="55" t="s">
        <v>320</v>
      </c>
      <c r="B71" s="44"/>
      <c r="C71" s="56" t="s">
        <v>49</v>
      </c>
      <c r="D71" s="44"/>
      <c r="E71" s="51" t="s">
        <v>321</v>
      </c>
      <c r="F71" s="43"/>
      <c r="G71" s="43"/>
      <c r="H71" s="44"/>
    </row>
    <row r="72" spans="1:8" x14ac:dyDescent="0.3">
      <c r="A72" s="33"/>
      <c r="B72" s="33"/>
      <c r="C72" s="33"/>
      <c r="D72" s="33"/>
      <c r="E72" s="33"/>
      <c r="F72" s="33"/>
      <c r="G72" s="33"/>
      <c r="H72" s="33"/>
    </row>
    <row r="73" spans="1:8" ht="39.75" customHeight="1" x14ac:dyDescent="0.3">
      <c r="A73" s="48" t="s">
        <v>322</v>
      </c>
      <c r="B73" s="43"/>
      <c r="C73" s="43"/>
      <c r="D73" s="43"/>
      <c r="E73" s="43"/>
      <c r="F73" s="43"/>
      <c r="G73" s="43"/>
      <c r="H73" s="44"/>
    </row>
  </sheetData>
  <mergeCells count="101">
    <mergeCell ref="A65:H65"/>
    <mergeCell ref="E43:H43"/>
    <mergeCell ref="C70:H70"/>
    <mergeCell ref="A66:B66"/>
    <mergeCell ref="G6:H6"/>
    <mergeCell ref="A18:B18"/>
    <mergeCell ref="A12:H12"/>
    <mergeCell ref="A47:B47"/>
    <mergeCell ref="E44:H44"/>
    <mergeCell ref="C18:H18"/>
    <mergeCell ref="C33:H33"/>
    <mergeCell ref="A20:B20"/>
    <mergeCell ref="A29:B29"/>
    <mergeCell ref="A44:B44"/>
    <mergeCell ref="A13:H15"/>
    <mergeCell ref="A31:B31"/>
    <mergeCell ref="A58:B58"/>
    <mergeCell ref="C31:H31"/>
    <mergeCell ref="A56:C56"/>
    <mergeCell ref="A36:H36"/>
    <mergeCell ref="A11:H11"/>
    <mergeCell ref="A1:H1"/>
    <mergeCell ref="G8:H8"/>
    <mergeCell ref="C21:H21"/>
    <mergeCell ref="A6:B6"/>
    <mergeCell ref="E56:H56"/>
    <mergeCell ref="A25:B25"/>
    <mergeCell ref="G5:H5"/>
    <mergeCell ref="G4:H4"/>
    <mergeCell ref="A2:H2"/>
    <mergeCell ref="C71:D71"/>
    <mergeCell ref="C69:H69"/>
    <mergeCell ref="A8:B8"/>
    <mergeCell ref="C30:H30"/>
    <mergeCell ref="C8:D8"/>
    <mergeCell ref="C62:H62"/>
    <mergeCell ref="A63:B63"/>
    <mergeCell ref="A61:H61"/>
    <mergeCell ref="A69:B69"/>
    <mergeCell ref="C44:D44"/>
    <mergeCell ref="C22:D22"/>
    <mergeCell ref="A21:B21"/>
    <mergeCell ref="C57:H57"/>
    <mergeCell ref="E6:F6"/>
    <mergeCell ref="C66:H66"/>
    <mergeCell ref="A57:B57"/>
    <mergeCell ref="A5:B5"/>
    <mergeCell ref="A32:B32"/>
    <mergeCell ref="A23:B23"/>
    <mergeCell ref="C23:D23"/>
    <mergeCell ref="C68:H68"/>
    <mergeCell ref="A17:H17"/>
    <mergeCell ref="A4:B4"/>
    <mergeCell ref="A73:H73"/>
    <mergeCell ref="C5:D5"/>
    <mergeCell ref="A45:B45"/>
    <mergeCell ref="E5:F5"/>
    <mergeCell ref="C45:D45"/>
    <mergeCell ref="E22:H22"/>
    <mergeCell ref="C4:D4"/>
    <mergeCell ref="E4:F4"/>
    <mergeCell ref="G7:H7"/>
    <mergeCell ref="A46:B46"/>
    <mergeCell ref="A27:H27"/>
    <mergeCell ref="C67:H67"/>
    <mergeCell ref="E23:H23"/>
    <mergeCell ref="C19:H19"/>
    <mergeCell ref="C28:H28"/>
    <mergeCell ref="A71:B71"/>
    <mergeCell ref="C58:H58"/>
    <mergeCell ref="C7:D7"/>
    <mergeCell ref="A35:H35"/>
    <mergeCell ref="E7:F7"/>
    <mergeCell ref="C20:H20"/>
    <mergeCell ref="A67:B67"/>
    <mergeCell ref="C29:H29"/>
    <mergeCell ref="A9:H9"/>
    <mergeCell ref="C25:H25"/>
    <mergeCell ref="C6:D6"/>
    <mergeCell ref="A49:H49"/>
    <mergeCell ref="A70:B70"/>
    <mergeCell ref="E8:F8"/>
    <mergeCell ref="C59:H59"/>
    <mergeCell ref="C46:H46"/>
    <mergeCell ref="A7:B7"/>
    <mergeCell ref="E71:H71"/>
    <mergeCell ref="A43:C43"/>
    <mergeCell ref="C32:H32"/>
    <mergeCell ref="A33:B33"/>
    <mergeCell ref="A22:B22"/>
    <mergeCell ref="A62:B62"/>
    <mergeCell ref="C24:H24"/>
    <mergeCell ref="A68:B68"/>
    <mergeCell ref="A19:B19"/>
    <mergeCell ref="A28:B28"/>
    <mergeCell ref="C63:H63"/>
    <mergeCell ref="E45:H45"/>
    <mergeCell ref="A30:B30"/>
    <mergeCell ref="A59:B59"/>
    <mergeCell ref="C47:H47"/>
    <mergeCell ref="A24:B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"/>
  <sheetViews>
    <sheetView showGridLines="0" tabSelected="1" zoomScaleNormal="100" workbookViewId="0">
      <selection activeCell="A2" sqref="A2:C2"/>
    </sheetView>
  </sheetViews>
  <sheetFormatPr defaultColWidth="8.6640625" defaultRowHeight="14.4" x14ac:dyDescent="0.3"/>
  <cols>
    <col min="1" max="1" width="7.21875" customWidth="1"/>
    <col min="2" max="2" width="95" customWidth="1"/>
    <col min="3" max="3" width="12" customWidth="1"/>
  </cols>
  <sheetData>
    <row r="1" spans="1:3" ht="17.25" customHeight="1" x14ac:dyDescent="0.3">
      <c r="A1" s="39" t="s">
        <v>0</v>
      </c>
      <c r="B1" s="40"/>
      <c r="C1" s="40"/>
    </row>
    <row r="2" spans="1:3" ht="31.5" customHeight="1" x14ac:dyDescent="0.3">
      <c r="A2" s="41" t="s">
        <v>1</v>
      </c>
      <c r="B2" s="40"/>
      <c r="C2" s="40"/>
    </row>
    <row r="3" spans="1:3" x14ac:dyDescent="0.3">
      <c r="A3" s="3"/>
      <c r="B3" s="3"/>
      <c r="C3" s="3"/>
    </row>
    <row r="4" spans="1:3" x14ac:dyDescent="0.3">
      <c r="A4" s="17" t="s">
        <v>2</v>
      </c>
      <c r="B4" s="23" t="s">
        <v>3</v>
      </c>
      <c r="C4" s="27">
        <f>Scorecard!E61</f>
        <v>49.5</v>
      </c>
    </row>
    <row r="5" spans="1:3" x14ac:dyDescent="0.3">
      <c r="A5" s="18"/>
      <c r="B5" s="28" t="s">
        <v>4</v>
      </c>
      <c r="C5" s="25">
        <f>IF(Scorecard!E61="","",MAX(0,ROUND(90-Scorecard!E61,1)))</f>
        <v>40.5</v>
      </c>
    </row>
    <row r="6" spans="1:3" x14ac:dyDescent="0.3">
      <c r="A6" s="18"/>
      <c r="B6" s="18"/>
      <c r="C6" s="18"/>
    </row>
    <row r="7" spans="1:3" x14ac:dyDescent="0.3">
      <c r="A7" s="29" t="s">
        <v>5</v>
      </c>
      <c r="B7" s="23" t="s">
        <v>6</v>
      </c>
      <c r="C7" s="27" t="s">
        <v>7</v>
      </c>
    </row>
    <row r="8" spans="1:3" x14ac:dyDescent="0.3">
      <c r="A8" s="23" t="str">
        <f>Scorecard!A53</f>
        <v>K1</v>
      </c>
      <c r="B8" s="1" t="str">
        <f>IF(Scorecard!E53="FAIL","GATE FAILED — "&amp;Scorecard!B53,"—")</f>
        <v>GATE FAILED — Valid recording exists — audible/visible both sides, materially complete, duration ≥ 10 minutes (MANDATORY) and not beyond 15 (target 10–12).</v>
      </c>
      <c r="C8" s="21" t="str">
        <f>Scorecard!E53</f>
        <v>FAIL</v>
      </c>
    </row>
    <row r="9" spans="1:3" x14ac:dyDescent="0.3">
      <c r="A9" s="23" t="str">
        <f>Scorecard!A54</f>
        <v>K2</v>
      </c>
      <c r="B9" s="1" t="str">
        <f>IF(Scorecard!E54="FAIL","GATE FAILED — "&amp;Scorecard!B54,"—")</f>
        <v>—</v>
      </c>
      <c r="C9" s="21" t="str">
        <f>Scorecard!E54</f>
        <v>PASS</v>
      </c>
    </row>
    <row r="10" spans="1:3" x14ac:dyDescent="0.3">
      <c r="A10" s="23" t="str">
        <f>Scorecard!A55</f>
        <v>K3</v>
      </c>
      <c r="B10" s="1" t="str">
        <f>IF(Scorecard!E55="FAIL","GATE FAILED — "&amp;Scorecard!B55,"—")</f>
        <v>GATE FAILED — Recording/video disclosure was made to the customer at the start of the call.</v>
      </c>
      <c r="C10" s="21" t="str">
        <f>Scorecard!E55</f>
        <v>FAIL</v>
      </c>
    </row>
    <row r="11" spans="1:3" x14ac:dyDescent="0.3">
      <c r="A11" s="23" t="str">
        <f>Scorecard!A56</f>
        <v>K4</v>
      </c>
      <c r="B11" s="1" t="str">
        <f>IF(Scorecard!E56="FAIL","GATE FAILED — "&amp;Scorecard!B56,"—")</f>
        <v>GATE FAILED — Customer clearly understands this is a BUSINESS Loan Against Property — property will be MORTGAGED.</v>
      </c>
      <c r="C11" s="21" t="str">
        <f>Scorecard!E56</f>
        <v>FAIL</v>
      </c>
    </row>
    <row r="12" spans="1:3" x14ac:dyDescent="0.3">
      <c r="A12" s="23" t="str">
        <f>Scorecard!A57</f>
        <v>K5</v>
      </c>
      <c r="B12" s="1" t="str">
        <f>IF(Scorecard!E57="FAIL","GATE FAILED — "&amp;Scorecard!B57,"—")</f>
        <v>—</v>
      </c>
      <c r="C12" s="21" t="str">
        <f>Scorecard!E57</f>
        <v>PASS</v>
      </c>
    </row>
    <row r="13" spans="1:3" x14ac:dyDescent="0.3">
      <c r="A13" s="23" t="str">
        <f>Scorecard!A58</f>
        <v>K6</v>
      </c>
      <c r="B13" s="1" t="str">
        <f>IF(Scorecard!E58="FAIL","GATE FAILED — "&amp;Scorecard!B58,"—")</f>
        <v>—</v>
      </c>
      <c r="C13" s="21" t="str">
        <f>Scorecard!E58</f>
        <v>PASS</v>
      </c>
    </row>
    <row r="14" spans="1:3" x14ac:dyDescent="0.3">
      <c r="A14" s="23" t="str">
        <f>Scorecard!A59</f>
        <v>K7</v>
      </c>
      <c r="B14" s="1" t="str">
        <f>IF(Scorecard!E59="FAIL","GATE FAILED — "&amp;Scorecard!B59,"—")</f>
        <v>—</v>
      </c>
      <c r="C14" s="21" t="str">
        <f>Scorecard!E59</f>
        <v>PASS</v>
      </c>
    </row>
    <row r="15" spans="1:3" x14ac:dyDescent="0.3">
      <c r="A15" s="3"/>
      <c r="B15" s="3"/>
      <c r="C15" s="3"/>
    </row>
    <row r="16" spans="1:3" x14ac:dyDescent="0.3">
      <c r="A16" s="8" t="s">
        <v>8</v>
      </c>
      <c r="B16" s="8" t="s">
        <v>9</v>
      </c>
      <c r="C16" s="8" t="s">
        <v>10</v>
      </c>
    </row>
    <row r="17" spans="1:3" x14ac:dyDescent="0.3">
      <c r="A17" s="23" t="str">
        <f>Scorecard!A11</f>
        <v>A1</v>
      </c>
      <c r="B17" s="1" t="str">
        <f>IF(Scorecard!G11="None","MISSED — "&amp;Scorecard!B11&amp;" | Ask: "&amp;Scorecard!C11,IF(Scorecard!G11="Partial","INCOMPLETE — "&amp;Scorecard!B11&amp;" | Asked but not fully probed/confirmed.",""))</f>
        <v>MISSED — Recording/video disclosure made at the start of the call | Ask: “Yeh call/video recording par hai, aapke loan verification ke liye.” — within the first 60 seconds.</v>
      </c>
      <c r="C17" s="21">
        <f>IF(Scorecard!G11="None",Scorecard!F11,IF(Scorecard!G11="Partial",Scorecard!F11/2,""))</f>
        <v>3</v>
      </c>
    </row>
    <row r="18" spans="1:3" x14ac:dyDescent="0.3">
      <c r="A18" s="23" t="str">
        <f>Scorecard!A12</f>
        <v>A2</v>
      </c>
      <c r="B18" s="1" t="str">
        <f>IF(Scorecard!G12="None","MISSED — "&amp;Scorecard!B12&amp;" | Ask: "&amp;Scorecard!C12,IF(Scorecard!G12="Partial","INCOMPLETE — "&amp;Scorecard!B12&amp;" | Asked but not fully probed/confirmed.",""))</f>
        <v>INCOMPLETE — Speaking to the MAIN BORROWER — video face verification | Asked but not fully probed/confirmed.</v>
      </c>
      <c r="C18" s="21">
        <f>IF(Scorecard!G12="None",Scorecard!F12,IF(Scorecard!G12="Partial",Scorecard!F12/2,""))</f>
        <v>1.5</v>
      </c>
    </row>
    <row r="19" spans="1:3" x14ac:dyDescent="0.3">
      <c r="A19" s="23" t="str">
        <f>Scorecard!A13</f>
        <v>A3</v>
      </c>
      <c r="B19" s="1" t="str">
        <f>IF(Scorecard!G13="None","MISSED — "&amp;Scorecard!B13&amp;" | Ask: "&amp;Scorecard!C13,IF(Scorecard!G13="Partial","INCOMPLETE — "&amp;Scorecard!B13&amp;" | Asked but not fully probed/confirmed.",""))</f>
        <v/>
      </c>
      <c r="C19" s="21" t="str">
        <f>IF(Scorecard!G13="None",Scorecard!F13,IF(Scorecard!G13="Partial",Scorecard!F13/2,""))</f>
        <v/>
      </c>
    </row>
    <row r="20" spans="1:3" x14ac:dyDescent="0.3">
      <c r="A20" s="23" t="str">
        <f>Scorecard!A14</f>
        <v>A4</v>
      </c>
      <c r="B20" s="1" t="str">
        <f>IF(Scorecard!G14="None","MISSED — "&amp;Scorecard!B14&amp;" | Ask: "&amp;Scorecard!C14,IF(Scorecard!G14="Partial","INCOMPLETE — "&amp;Scorecard!B14&amp;" | Asked but not fully probed/confirmed.",""))</f>
        <v/>
      </c>
      <c r="C20" s="21" t="str">
        <f>IF(Scorecard!G14="None",Scorecard!F14,IF(Scorecard!G14="Partial",Scorecard!F14/2,""))</f>
        <v/>
      </c>
    </row>
    <row r="21" spans="1:3" x14ac:dyDescent="0.3">
      <c r="A21" s="23" t="str">
        <f>Scorecard!A16</f>
        <v>B1</v>
      </c>
      <c r="B21" s="1" t="str">
        <f>IF(Scorecard!G16="None","MISSED — "&amp;Scorecard!B16&amp;" | Ask: "&amp;Scorecard!C16,IF(Scorecard!G16="Partial","INCOMPLETE — "&amp;Scorecard!B16&amp;" | Asked but not fully probed/confirmed.",""))</f>
        <v>INCOMPLETE — RM visit verified — who sourced and visited | Asked but not fully probed/confirmed.</v>
      </c>
      <c r="C21" s="21">
        <f>IF(Scorecard!G16="None",Scorecard!F16,IF(Scorecard!G16="Partial",Scorecard!F16/2,""))</f>
        <v>2</v>
      </c>
    </row>
    <row r="22" spans="1:3" x14ac:dyDescent="0.3">
      <c r="A22" s="23" t="str">
        <f>Scorecard!A17</f>
        <v>B2</v>
      </c>
      <c r="B22" s="1" t="str">
        <f>IF(Scorecard!G17="None","MISSED — "&amp;Scorecard!B17&amp;" | Ask: "&amp;Scorecard!C17,IF(Scorecard!G17="Partial","INCOMPLETE — "&amp;Scorecard!B17&amp;" | Asked but not fully probed/confirmed.",""))</f>
        <v>MISSED — Agent / broker / DSA involvement probed | Ask: “Beech mein koi agent, broker, DSA, connector ya sales agent hai? Kisi ne file lagwane mein madad ki — kaun?” — undisclosed middleman = FI-RF-3 / Gate K6.</v>
      </c>
      <c r="C22" s="21">
        <f>IF(Scorecard!G17="None",Scorecard!F17,IF(Scorecard!G17="Partial",Scorecard!F17/2,""))</f>
        <v>4</v>
      </c>
    </row>
    <row r="23" spans="1:3" x14ac:dyDescent="0.3">
      <c r="A23" s="23" t="str">
        <f>Scorecard!A18</f>
        <v>B3</v>
      </c>
      <c r="B23" s="1" t="str">
        <f>IF(Scorecard!G18="None","MISSED — "&amp;Scorecard!B18&amp;" | Ask: "&amp;Scorecard!C18,IF(Scorecard!G18="Partial","INCOMPLETE — "&amp;Scorecard!B18&amp;" | Asked but not fully probed/confirmed.",""))</f>
        <v>MISSED — Zero-commission integrity check | Ask: “Kya kisi ne is loan ke liye aapse commission, fees ya paisa manga hai? Prodigee mein ZERO COMMISSION policy hai.” PLUS login fee: “Login fee kisne collect ki — Prodigee ke RM ne hi? Kitni di? Receipt mili?” — fee collected by anyone other than the RM = FI-RF-4. Demand = FI-RF-4 (STOP — CCRO).</v>
      </c>
      <c r="C23" s="21">
        <f>IF(Scorecard!G18="None",Scorecard!F18,IF(Scorecard!G18="Partial",Scorecard!F18/2,""))</f>
        <v>4</v>
      </c>
    </row>
    <row r="24" spans="1:3" x14ac:dyDescent="0.3">
      <c r="A24" s="23" t="str">
        <f>Scorecard!A19</f>
        <v>B4</v>
      </c>
      <c r="B24" s="1" t="str">
        <f>IF(Scorecard!G19="None","MISSED — "&amp;Scorecard!B19&amp;" | Ask: "&amp;Scorecard!C19,IF(Scorecard!G19="Partial","INCOMPLETE — "&amp;Scorecard!B19&amp;" | Asked but not fully probed/confirmed.",""))</f>
        <v>INCOMPLETE — Sourcing story consistent with PRAGATI | Asked but not fully probed/confirmed.</v>
      </c>
      <c r="C24" s="21">
        <f>IF(Scorecard!G19="None",Scorecard!F19,IF(Scorecard!G19="Partial",Scorecard!F19/2,""))</f>
        <v>2</v>
      </c>
    </row>
    <row r="25" spans="1:3" x14ac:dyDescent="0.3">
      <c r="A25" s="23" t="str">
        <f>Scorecard!A21</f>
        <v>C1</v>
      </c>
      <c r="B25" s="1" t="str">
        <f>IF(Scorecard!G21="None","MISSED — "&amp;Scorecard!B21&amp;" | Ask: "&amp;Scorecard!C21,IF(Scorecard!G21="Partial","INCOMPLETE — "&amp;Scorecard!B21&amp;" | Asked but not fully probed/confirmed.",""))</f>
        <v>INCOMPLETE — Knows it is a BUSINESS Loan Against Property — mortgage | Asked but not fully probed/confirmed.</v>
      </c>
      <c r="C25" s="21">
        <f>IF(Scorecard!G21="None",Scorecard!F21,IF(Scorecard!G21="Partial",Scorecard!F21/2,""))</f>
        <v>2</v>
      </c>
    </row>
    <row r="26" spans="1:3" x14ac:dyDescent="0.3">
      <c r="A26" s="23" t="str">
        <f>Scorecard!A22</f>
        <v>C2</v>
      </c>
      <c r="B26" s="1" t="str">
        <f>IF(Scorecard!G22="None","MISSED — "&amp;Scorecard!B22&amp;" | Ask: "&amp;Scorecard!C22,IF(Scorecard!G22="Partial","INCOMPLETE — "&amp;Scorecard!B22&amp;" | Asked but not fully probed/confirmed.",""))</f>
        <v>INCOMPLETE — Loan amount stated by the customer | Asked but not fully probed/confirmed.</v>
      </c>
      <c r="C26" s="21">
        <f>IF(Scorecard!G22="None",Scorecard!F22,IF(Scorecard!G22="Partial",Scorecard!F22/2,""))</f>
        <v>2</v>
      </c>
    </row>
    <row r="27" spans="1:3" x14ac:dyDescent="0.3">
      <c r="A27" s="23" t="str">
        <f>Scorecard!A23</f>
        <v>C3</v>
      </c>
      <c r="B27" s="1" t="str">
        <f>IF(Scorecard!G23="None","MISSED — "&amp;Scorecard!B23&amp;" | Ask: "&amp;Scorecard!C23,IF(Scorecard!G23="Partial","INCOMPLETE — "&amp;Scorecard!B23&amp;" | Asked but not fully probed/confirmed.",""))</f>
        <v>INCOMPLETE — End use understood in brief | Asked but not fully probed/confirmed.</v>
      </c>
      <c r="C27" s="21">
        <f>IF(Scorecard!G23="None",Scorecard!F23,IF(Scorecard!G23="Partial",Scorecard!F23/2,""))</f>
        <v>2</v>
      </c>
    </row>
    <row r="28" spans="1:3" x14ac:dyDescent="0.3">
      <c r="A28" s="23" t="str">
        <f>Scorecard!A25</f>
        <v>D1</v>
      </c>
      <c r="B28" s="1" t="str">
        <f>IF(Scorecard!G25="None","MISSED — "&amp;Scorecard!B25&amp;" | Ask: "&amp;Scorecard!C25,IF(Scorecard!G25="Partial","INCOMPLETE — "&amp;Scorecard!B25&amp;" | Asked but not fully probed/confirmed.",""))</f>
        <v/>
      </c>
      <c r="C28" s="21" t="str">
        <f>IF(Scorecard!G25="None",Scorecard!F25,IF(Scorecard!G25="Partial",Scorecard!F25/2,""))</f>
        <v/>
      </c>
    </row>
    <row r="29" spans="1:3" x14ac:dyDescent="0.3">
      <c r="A29" s="23" t="str">
        <f>Scorecard!A26</f>
        <v>D2</v>
      </c>
      <c r="B29" s="1" t="str">
        <f>IF(Scorecard!G26="None","MISSED — "&amp;Scorecard!B26&amp;" | Ask: "&amp;Scorecard!C26,IF(Scorecard!G26="Partial","INCOMPLETE — "&amp;Scorecard!B26&amp;" | Asked but not fully probed/confirmed.",""))</f>
        <v>INCOMPLETE — Income tested against policy gates | Asked but not fully probed/confirmed.</v>
      </c>
      <c r="C29" s="21">
        <f>IF(Scorecard!G26="None",Scorecard!F26,IF(Scorecard!G26="Partial",Scorecard!F26/2,""))</f>
        <v>3</v>
      </c>
    </row>
    <row r="30" spans="1:3" x14ac:dyDescent="0.3">
      <c r="A30" s="23" t="str">
        <f>Scorecard!A27</f>
        <v>D3</v>
      </c>
      <c r="B30" s="1" t="str">
        <f>IF(Scorecard!G27="None","MISSED — "&amp;Scorecard!B27&amp;" | Ask: "&amp;Scorecard!C27,IF(Scorecard!G27="Partial","INCOMPLETE — "&amp;Scorecard!B27&amp;" | Asked but not fully probed/confirmed.",""))</f>
        <v/>
      </c>
      <c r="C30" s="21" t="str">
        <f>IF(Scorecard!G27="None",Scorecard!F27,IF(Scorecard!G27="Partial",Scorecard!F27/2,""))</f>
        <v/>
      </c>
    </row>
    <row r="31" spans="1:3" x14ac:dyDescent="0.3">
      <c r="A31" s="23" t="str">
        <f>Scorecard!A28</f>
        <v>D4</v>
      </c>
      <c r="B31" s="1" t="str">
        <f>IF(Scorecard!G28="None","MISSED — "&amp;Scorecard!B28&amp;" | Ask: "&amp;Scorecard!C28,IF(Scorecard!G28="Partial","INCOMPLETE — "&amp;Scorecard!B28&amp;" | Asked but not fully probed/confirmed.",""))</f>
        <v>INCOMPLETE — BM's sufficiency view formed | Asked but not fully probed/confirmed.</v>
      </c>
      <c r="C31" s="21">
        <f>IF(Scorecard!G28="None",Scorecard!F28,IF(Scorecard!G28="Partial",Scorecard!F28/2,""))</f>
        <v>3</v>
      </c>
    </row>
    <row r="32" spans="1:3" x14ac:dyDescent="0.3">
      <c r="A32" s="23" t="str">
        <f>Scorecard!A30</f>
        <v>E1</v>
      </c>
      <c r="B32" s="1" t="str">
        <f>IF(Scorecard!G30="None","MISSED — "&amp;Scorecard!B30&amp;" | Ask: "&amp;Scorecard!C30,IF(Scorecard!G30="Partial","INCOMPLETE — "&amp;Scorecard!B30&amp;" | Asked but not fully probed/confirmed.",""))</f>
        <v>INCOMPLETE — Running loans acknowledged vs BPS/bureau | Asked but not fully probed/confirmed.</v>
      </c>
      <c r="C32" s="21">
        <f>IF(Scorecard!G30="None",Scorecard!F30,IF(Scorecard!G30="Partial",Scorecard!F30/2,""))</f>
        <v>3</v>
      </c>
    </row>
    <row r="33" spans="1:3" x14ac:dyDescent="0.3">
      <c r="A33" s="23" t="str">
        <f>Scorecard!A31</f>
        <v>E2</v>
      </c>
      <c r="B33" s="1" t="str">
        <f>IF(Scorecard!G31="None","MISSED — "&amp;Scorecard!B31&amp;" | Ask: "&amp;Scorecard!C31,IF(Scorecard!G31="Partial","INCOMPLETE — "&amp;Scorecard!B31&amp;" | Asked but not fully probed/confirmed.",""))</f>
        <v/>
      </c>
      <c r="C33" s="21" t="str">
        <f>IF(Scorecard!G31="None",Scorecard!F31,IF(Scorecard!G31="Partial",Scorecard!F31/2,""))</f>
        <v/>
      </c>
    </row>
    <row r="34" spans="1:3" x14ac:dyDescent="0.3">
      <c r="A34" s="23" t="str">
        <f>Scorecard!A32</f>
        <v>E3</v>
      </c>
      <c r="B34" s="1" t="str">
        <f>IF(Scorecard!G32="None","MISSED — "&amp;Scorecard!B32&amp;" | Ask: "&amp;Scorecard!C32,IF(Scorecard!G32="Partial","INCOMPLETE — "&amp;Scorecard!B32&amp;" | Asked but not fully probed/confirmed.",""))</f>
        <v>MISSED — Other bureau red flags clarified | Ask: Recent enquiries, settlement history, high utilisation — one question each, response noted. PLUS: “Kya aapne yeh file kisi aur bank ya NBFC mein bhi lagayi hai abhi?” — file simultaneously with another lender must surface here.</v>
      </c>
      <c r="C34" s="21">
        <f>IF(Scorecard!G32="None",Scorecard!F32,IF(Scorecard!G32="Partial",Scorecard!F32/2,""))</f>
        <v>4</v>
      </c>
    </row>
    <row r="35" spans="1:3" x14ac:dyDescent="0.3">
      <c r="A35" s="23" t="str">
        <f>Scorecard!A34</f>
        <v>F1</v>
      </c>
      <c r="B35" s="1" t="str">
        <f>IF(Scorecard!G34="None","MISSED — "&amp;Scorecard!B34&amp;" | Ask: "&amp;Scorecard!C34,IF(Scorecard!G34="Partial","INCOMPLETE — "&amp;Scorecard!B34&amp;" | Asked but not fully probed/confirmed.",""))</f>
        <v>INCOMPLETE — Property type, owner and location — in brief | Asked but not fully probed/confirmed.</v>
      </c>
      <c r="C35" s="21">
        <f>IF(Scorecard!G34="None",Scorecard!F34,IF(Scorecard!G34="Partial",Scorecard!F34/2,""))</f>
        <v>2.5</v>
      </c>
    </row>
    <row r="36" spans="1:3" x14ac:dyDescent="0.3">
      <c r="A36" s="23" t="str">
        <f>Scorecard!A35</f>
        <v>F2</v>
      </c>
      <c r="B36" s="1" t="str">
        <f>IF(Scorecard!G35="None","MISSED — "&amp;Scorecard!B35&amp;" | Ask: "&amp;Scorecard!C35,IF(Scorecard!G35="Partial","INCOMPLETE — "&amp;Scorecard!B35&amp;" | Asked but not fully probed/confirmed.",""))</f>
        <v>INCOMPLETE — Willingness to mortgage + lien-free in brief | Asked but not fully probed/confirmed.</v>
      </c>
      <c r="C36" s="21">
        <f>IF(Scorecard!G35="None",Scorecard!F35,IF(Scorecard!G35="Partial",Scorecard!F35/2,""))</f>
        <v>2.5</v>
      </c>
    </row>
    <row r="37" spans="1:3" x14ac:dyDescent="0.3">
      <c r="A37" s="23" t="str">
        <f>Scorecard!A37</f>
        <v>G1</v>
      </c>
      <c r="B37" s="1" t="str">
        <f>IF(Scorecard!G37="None","MISSED — "&amp;Scorecard!B37&amp;" | Ask: "&amp;Scorecard!C37,IF(Scorecard!G37="Partial","INCOMPLETE — "&amp;Scorecard!B37&amp;" | Asked but not fully probed/confirmed.",""))</f>
        <v>MISSED — Duration and quality (10–15 minutes) | Ask: ≥ 10 min mandatory; ≤ 15; both sides audible/visible end-to-end; ≥90% intelligible.</v>
      </c>
      <c r="C37" s="21">
        <f>IF(Scorecard!G37="None",Scorecard!F37,IF(Scorecard!G37="Partial",Scorecard!F37/2,""))</f>
        <v>3</v>
      </c>
    </row>
    <row r="38" spans="1:3" x14ac:dyDescent="0.3">
      <c r="A38" s="23" t="str">
        <f>Scorecard!A38</f>
        <v>G2</v>
      </c>
      <c r="B38" s="1" t="str">
        <f>IF(Scorecard!G38="None","MISSED — "&amp;Scorecard!B38&amp;" | Ask: "&amp;Scorecard!C38,IF(Scorecard!G38="Partial","INCOMPLETE — "&amp;Scorecard!B38&amp;" | Asked but not fully probed/confirmed.",""))</f>
        <v/>
      </c>
      <c r="C38" s="21" t="str">
        <f>IF(Scorecard!G38="None",Scorecard!F38,IF(Scorecard!G38="Partial",Scorecard!F38/2,""))</f>
        <v/>
      </c>
    </row>
    <row r="39" spans="1:3" x14ac:dyDescent="0.3">
      <c r="A39" s="23" t="str">
        <f>Scorecard!A39</f>
        <v>G3</v>
      </c>
      <c r="B39" s="1" t="str">
        <f>IF(Scorecard!G39="None","MISSED — "&amp;Scorecard!B39&amp;" | Ask: "&amp;Scorecard!C39,IF(Scorecard!G39="Partial","INCOMPLETE — "&amp;Scorecard!B39&amp;" | Asked but not fully probed/confirmed.",""))</f>
        <v>MISSED — Clear BM decision recorded with reason | Ask: FORWARD to CPA or REJECT at BM stage — with the specific reason. A well-reasoned rejection scores Full. On FORWARD, close by telling the customer the next steps: “Ab aapki file Credit Team ke paas jayegi — aapko Credit Department se call aayega, uske baad aapke business aur ghar ka visit hoga.”</v>
      </c>
      <c r="C39" s="21">
        <f>IF(Scorecard!G39="None",Scorecard!F39,IF(Scorecard!G39="Partial",Scorecard!F39/2,""))</f>
        <v>4</v>
      </c>
    </row>
    <row r="40" spans="1:3" x14ac:dyDescent="0.3">
      <c r="A40" s="30"/>
      <c r="B40" s="19" t="s">
        <v>11</v>
      </c>
      <c r="C40" s="26">
        <f>SUM(C17:C39)</f>
        <v>47.5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zoomScaleNormal="100" workbookViewId="0">
      <selection activeCell="B14" sqref="B14"/>
    </sheetView>
  </sheetViews>
  <sheetFormatPr defaultColWidth="8.6640625" defaultRowHeight="14.4" x14ac:dyDescent="0.3"/>
  <cols>
    <col min="1" max="1" width="12" style="3" customWidth="1"/>
    <col min="2" max="2" width="70" style="3" customWidth="1"/>
    <col min="3" max="3" width="50" style="3" customWidth="1"/>
    <col min="4" max="4" width="8.6640625" style="3" customWidth="1"/>
    <col min="5" max="16384" width="8.6640625" style="3"/>
  </cols>
  <sheetData>
    <row r="1" spans="1:3" x14ac:dyDescent="0.3">
      <c r="A1" s="6" t="s">
        <v>323</v>
      </c>
    </row>
    <row r="3" spans="1:3" x14ac:dyDescent="0.3">
      <c r="A3" s="2" t="s">
        <v>324</v>
      </c>
      <c r="B3" s="2" t="s">
        <v>325</v>
      </c>
      <c r="C3" s="2" t="s">
        <v>326</v>
      </c>
    </row>
    <row r="4" spans="1:3" x14ac:dyDescent="0.3">
      <c r="A4" s="5" t="s">
        <v>61</v>
      </c>
      <c r="B4" s="5" t="s">
        <v>327</v>
      </c>
      <c r="C4" s="5" t="s">
        <v>328</v>
      </c>
    </row>
    <row r="5" spans="1:3" x14ac:dyDescent="0.3">
      <c r="A5" s="5" t="s">
        <v>329</v>
      </c>
      <c r="B5" s="5" t="s">
        <v>330</v>
      </c>
      <c r="C5" s="5" t="s">
        <v>331</v>
      </c>
    </row>
    <row r="6" spans="1:3" x14ac:dyDescent="0.3">
      <c r="A6" s="5" t="s">
        <v>332</v>
      </c>
      <c r="B6" s="5" t="s">
        <v>333</v>
      </c>
      <c r="C6" s="5" t="s">
        <v>334</v>
      </c>
    </row>
    <row r="7" spans="1:3" ht="28.5" customHeight="1" x14ac:dyDescent="0.3">
      <c r="A7" s="5" t="s">
        <v>335</v>
      </c>
      <c r="B7" s="5" t="s">
        <v>336</v>
      </c>
      <c r="C7" s="5" t="s">
        <v>337</v>
      </c>
    </row>
    <row r="8" spans="1:3" x14ac:dyDescent="0.3">
      <c r="A8" s="5" t="s">
        <v>338</v>
      </c>
      <c r="B8" s="5" t="s">
        <v>339</v>
      </c>
      <c r="C8" s="5" t="s">
        <v>340</v>
      </c>
    </row>
    <row r="9" spans="1:3" ht="28.5" customHeight="1" x14ac:dyDescent="0.3">
      <c r="A9" s="5" t="s">
        <v>341</v>
      </c>
      <c r="B9" s="5" t="s">
        <v>342</v>
      </c>
      <c r="C9" s="5" t="s">
        <v>343</v>
      </c>
    </row>
    <row r="10" spans="1:3" x14ac:dyDescent="0.3">
      <c r="A10" s="5" t="s">
        <v>344</v>
      </c>
      <c r="B10" s="5" t="s">
        <v>345</v>
      </c>
      <c r="C10" s="5" t="s">
        <v>346</v>
      </c>
    </row>
    <row r="11" spans="1:3" x14ac:dyDescent="0.3">
      <c r="A11" s="5" t="s">
        <v>347</v>
      </c>
      <c r="B11" s="5" t="s">
        <v>348</v>
      </c>
      <c r="C11" s="5" t="s">
        <v>349</v>
      </c>
    </row>
    <row r="13" spans="1:3" x14ac:dyDescent="0.3">
      <c r="A13" s="6" t="s">
        <v>350</v>
      </c>
    </row>
    <row r="14" spans="1:3" x14ac:dyDescent="0.3">
      <c r="A14" s="2" t="s">
        <v>351</v>
      </c>
      <c r="B14" s="2" t="s">
        <v>352</v>
      </c>
      <c r="C14" s="2" t="s">
        <v>353</v>
      </c>
    </row>
    <row r="15" spans="1:3" x14ac:dyDescent="0.3">
      <c r="A15" s="31" t="s">
        <v>354</v>
      </c>
      <c r="B15" s="31" t="s">
        <v>355</v>
      </c>
      <c r="C15" s="31" t="s">
        <v>356</v>
      </c>
    </row>
    <row r="16" spans="1:3" x14ac:dyDescent="0.3">
      <c r="A16" s="31" t="s">
        <v>357</v>
      </c>
      <c r="B16" s="31" t="s">
        <v>358</v>
      </c>
      <c r="C16" s="31" t="s">
        <v>359</v>
      </c>
    </row>
    <row r="17" spans="1:3" x14ac:dyDescent="0.3">
      <c r="A17" s="31" t="s">
        <v>360</v>
      </c>
      <c r="B17" s="31" t="s">
        <v>361</v>
      </c>
      <c r="C17" s="31" t="s">
        <v>362</v>
      </c>
    </row>
    <row r="18" spans="1:3" x14ac:dyDescent="0.3">
      <c r="A18" s="31" t="s">
        <v>363</v>
      </c>
      <c r="B18" s="31" t="s">
        <v>364</v>
      </c>
      <c r="C18" s="31" t="s">
        <v>365</v>
      </c>
    </row>
    <row r="19" spans="1:3" x14ac:dyDescent="0.3">
      <c r="A19" s="31" t="s">
        <v>366</v>
      </c>
      <c r="B19" s="31" t="s">
        <v>367</v>
      </c>
      <c r="C19" s="31" t="s">
        <v>368</v>
      </c>
    </row>
    <row r="21" spans="1:3" x14ac:dyDescent="0.3">
      <c r="A21" s="6" t="s">
        <v>369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Scorecard</vt:lpstr>
      <vt:lpstr>Call Summary</vt:lpstr>
      <vt:lpstr>Gap &amp; Coaching Report</vt:lpstr>
      <vt:lpstr>Reference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Goel</cp:lastModifiedBy>
  <cp:revision>0</cp:revision>
  <dcterms:created xsi:type="dcterms:W3CDTF">2026-08-09T07:25:04Z</dcterms:created>
  <dcterms:modified xsi:type="dcterms:W3CDTF">2026-08-20T02:50:41Z</dcterms:modified>
  <dc:language>en-US</dc:language>
</cp:coreProperties>
</file>