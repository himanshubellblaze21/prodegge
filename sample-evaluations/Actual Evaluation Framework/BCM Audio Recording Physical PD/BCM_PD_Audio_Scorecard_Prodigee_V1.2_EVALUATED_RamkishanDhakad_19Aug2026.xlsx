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tg\Desktop\Actual Evaluation Framework\BCM Audio Recording Physical PD\"/>
    </mc:Choice>
  </mc:AlternateContent>
  <xr:revisionPtr revIDLastSave="0" documentId="8_{C316A561-4706-413F-AB29-E4536C64F11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ad Me" sheetId="1" r:id="rId1"/>
    <sheet name="Scorecard" sheetId="2" r:id="rId2"/>
    <sheet name="Call Summary" sheetId="3" r:id="rId3"/>
    <sheet name="Gap &amp; Coaching Report" sheetId="4" r:id="rId4"/>
    <sheet name="Reference 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4" l="1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C49" i="4" s="1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E73" i="2"/>
  <c r="D59" i="2"/>
  <c r="E58" i="2"/>
  <c r="D58" i="2"/>
  <c r="F58" i="2" s="1"/>
  <c r="E57" i="2"/>
  <c r="D57" i="2"/>
  <c r="F57" i="2" s="1"/>
  <c r="E56" i="2"/>
  <c r="D56" i="2"/>
  <c r="F56" i="2" s="1"/>
  <c r="E55" i="2"/>
  <c r="D55" i="2"/>
  <c r="F55" i="2" s="1"/>
  <c r="E54" i="2"/>
  <c r="D54" i="2"/>
  <c r="F54" i="2" s="1"/>
  <c r="E53" i="2"/>
  <c r="D53" i="2"/>
  <c r="F53" i="2" s="1"/>
  <c r="E52" i="2"/>
  <c r="D52" i="2"/>
  <c r="F52" i="2" s="1"/>
  <c r="H48" i="2"/>
  <c r="E59" i="2" s="1"/>
  <c r="H47" i="2"/>
  <c r="H46" i="2"/>
  <c r="H44" i="2"/>
  <c r="H43" i="2"/>
  <c r="H42" i="2"/>
  <c r="H40" i="2"/>
  <c r="H39" i="2"/>
  <c r="H38" i="2"/>
  <c r="H37" i="2"/>
  <c r="H35" i="2"/>
  <c r="H34" i="2"/>
  <c r="H33" i="2"/>
  <c r="H32" i="2"/>
  <c r="H30" i="2"/>
  <c r="H29" i="2"/>
  <c r="H28" i="2"/>
  <c r="H27" i="2"/>
  <c r="H25" i="2"/>
  <c r="H24" i="2"/>
  <c r="H23" i="2"/>
  <c r="H21" i="2"/>
  <c r="H20" i="2"/>
  <c r="H19" i="2"/>
  <c r="H18" i="2"/>
  <c r="H17" i="2"/>
  <c r="H16" i="2"/>
  <c r="H14" i="2"/>
  <c r="H13" i="2"/>
  <c r="H12" i="2"/>
  <c r="H11" i="2"/>
  <c r="E70" i="3"/>
  <c r="E66" i="3"/>
  <c r="F44" i="3"/>
  <c r="E67" i="3" s="1"/>
  <c r="E44" i="3"/>
  <c r="F29" i="3"/>
  <c r="E65" i="3" s="1"/>
  <c r="E29" i="3"/>
  <c r="G8" i="3"/>
  <c r="C8" i="3"/>
  <c r="C7" i="3"/>
  <c r="C6" i="3"/>
  <c r="C5" i="3"/>
  <c r="C4" i="3"/>
  <c r="E75" i="2" l="1"/>
  <c r="G7" i="3" s="1"/>
  <c r="G6" i="3"/>
  <c r="E68" i="3"/>
  <c r="E71" i="3"/>
  <c r="E72" i="2"/>
  <c r="F59" i="2"/>
  <c r="G4" i="3" l="1"/>
  <c r="C4" i="4"/>
  <c r="E74" i="2"/>
  <c r="G5" i="3" s="1"/>
  <c r="C5" i="4"/>
</calcChain>
</file>

<file path=xl/sharedStrings.xml><?xml version="1.0" encoding="utf-8"?>
<sst xmlns="http://schemas.openxmlformats.org/spreadsheetml/2006/main" count="514" uniqueCount="422">
  <si>
    <t>BCM PD SELF-AUDIO — CALL SUMMARY FOR MANAGEMENT · Business Loan Against Property</t>
  </si>
  <si>
    <t>One-page digest of the full recording, filled by the Evaluator (AI Agent / Reviewer) so management need not hear the audio. Fill ONLY the yellow cells; header, totals, surplus arithmetic, score and verdict fill/calculate automatically. Every figure must be one actually SPOKEN on the recording — quote the timestamp. Not stated on call = write "Not stated".</t>
  </si>
  <si>
    <t>Application ID</t>
  </si>
  <si>
    <t>Score (/100)</t>
  </si>
  <si>
    <t>Customer Name</t>
  </si>
  <si>
    <t>Grade Band</t>
  </si>
  <si>
    <t>BCM Name</t>
  </si>
  <si>
    <t>Knock-Out Status</t>
  </si>
  <si>
    <t>Date of PD Visits / Recording</t>
  </si>
  <si>
    <t>Final Verdict</t>
  </si>
  <si>
    <t>Loan Amount (Rs.)</t>
  </si>
  <si>
    <t>Recording Duration (min)</t>
  </si>
  <si>
    <t>Auto-filled from the Scorecard sheet — do not type here. Grey cells show the evaluation outcome for this same recording.</t>
  </si>
  <si>
    <t>CALL IN BRIEF — EXECUTIVE GIST (4–6 lines)</t>
  </si>
  <si>
    <t>Who the borrower is and where · what he/she does · loan amount sought and purpose · what the BCM saw and concluded on income, obligations, family, collateral · the BCM's recommendation · anything management must know.</t>
  </si>
  <si>
    <t>Ramkishan Dhakad of village Kichlay seeks Rs.12 lakh (stated on record with case header, date 19-Aug, 4 pm — BCM Sharad Verma). Income stack as probed on site: plaster/thekedari contracting (~Rs.4 lakh per contract, payments into bank), a kirana shop the BCM verified physically — cash box lifted, stock and staff quizzed — worked to ~Rs.25–30k/month, a DJ set-up (no gram-panchayat permission — honestly flagged), and family agri land (bighas probed; crops/yield not verified). Bureau work is good: the Rs.3.5-lakh CIBIL loan with late instalments and the Rs.50k/Rs.1-lakh enquiries were all confronted. End use: clear old udhaari, buy stock, and set up a general store. BUT the narration is INVALID on three gates: 12m02s (&lt;15-min mandatory), NO neighbour verification at all (business or residence), and no family/co-borrower interview — and it ends without any recommendation. Photo capture, customer education, collateral risk screen and value estimate are also missing. Re-record after completing the missing legs.</t>
  </si>
  <si>
    <t>HEAD 1 — TOTAL INCOME SOURCES (every income stated on the call)</t>
  </si>
  <si>
    <t>One row per income stream spoken on the recording — every business, agri, dairy, rent, salary, or family-member income. Was it actually STATED with a figure on the call? Quote the timestamp.</t>
  </si>
  <si>
    <t>#</t>
  </si>
  <si>
    <t>Income source / business name</t>
  </si>
  <si>
    <t>Run by (name &amp; relation — borrower / family member)</t>
  </si>
  <si>
    <t>Stated on call? (Yes / Partly / No + timestamp)</t>
  </si>
  <si>
    <t>Monthly income STATED (Rs.)</t>
  </si>
  <si>
    <t>Assessed monthly income (Rs.)</t>
  </si>
  <si>
    <t>Evidence cited on call (bills / UPI / passbook / mandi receipts)</t>
  </si>
  <si>
    <t>Remarks (seasonality, arithmetic narrated, doubts)</t>
  </si>
  <si>
    <t>Thekedari — plaster/construction contracting</t>
  </si>
  <si>
    <t>Borrower</t>
  </si>
  <si>
    <t>Yes — 0:55–2:51</t>
  </si>
  <si>
    <t>Payments come into bank account (2:28–2:51); 1-yr PhonePe statement demanded (3:16); no bills — honestly stated (4:20)</t>
  </si>
  <si>
    <t>Per-contract value ~Rs.4 lakh, ~Rs.10–20k profit per contract (2:06, 11:05 — figures partly garbled); monthly figure not stated</t>
  </si>
  <si>
    <t>Kirana shop (2 yrs running)</t>
  </si>
  <si>
    <t>Yes — 4:44–5:32</t>
  </si>
  <si>
    <t>Cash box physically checked by BCM ('galla uthake'); stock/staff quizzed on site</t>
  </si>
  <si>
    <t>BCM works margin to Rs.25–30k/month aloud (5:11–5:32; 10:38) — 30k used in his summary</t>
  </si>
  <si>
    <t>DJ / sound-system business</t>
  </si>
  <si>
    <t>Yes — 6:25–7:34</t>
  </si>
  <si>
    <t>Equipment/vehicle discussed; NO gram-panchayat permission — flagged (7:15)</t>
  </si>
  <si>
    <t>Takings garbled (~Rs.2–2.5k per event / Rs.10–20k month at 11:05) — quantify on re-record</t>
  </si>
  <si>
    <t>Agriculture land (family)</t>
  </si>
  <si>
    <t>Family (names garbled)</t>
  </si>
  <si>
    <t>Partly — 7:28–7:56</t>
  </si>
  <si>
    <t>None — no Bhulekh, no visit/GPS video, no mandi receipts</t>
  </si>
  <si>
    <t>Bighas and ownership probed (~8 / 3.5 bigha split — garbled); crops, yield, income NOT assessed</t>
  </si>
  <si>
    <t>'Bhatta'(?) — unclear stream in closing summary</t>
  </si>
  <si>
    <t>Unclear</t>
  </si>
  <si>
    <t>Partly — 10:38–11:05</t>
  </si>
  <si>
    <t>None</t>
  </si>
  <si>
    <t>Garbled — '~Rs.1 lakh andaaz' mentioned in summary; identify and assess on re-record</t>
  </si>
  <si>
    <t>TOTAL INCOME AS PER CALL (Rs./month)</t>
  </si>
  <si>
    <t>Stated ↑ = spoken figure · Assessed ↑ = BCM/PRAGATI-model figure</t>
  </si>
  <si>
    <t>Income in the application NOT spoken on the call</t>
  </si>
  <si>
    <t>Cannot determine — application/CAM not provided to evaluator.</t>
  </si>
  <si>
    <t>All declared income sources covered on call? (YES / NO)</t>
  </si>
  <si>
    <t>UNKNOWN — declared list not available; five streams surfaced on call (above).</t>
  </si>
  <si>
    <t>HEAD 2 — TOTAL OBLIGATIONS (every loan / EMI stated on the call)</t>
  </si>
  <si>
    <t>One row per obligation spoken on the recording — bank/NBFC EMIs, MFI/SHG/JLG, KCC/society/PACS, gold, hand/market loans — of the borrower AND co-borrowers.</t>
  </si>
  <si>
    <t>Lender / source</t>
  </si>
  <si>
    <t>Type (Bank / NBFC / MFI / SHG / KCC / Gold / Hand loan)</t>
  </si>
  <si>
    <t>In whose name</t>
  </si>
  <si>
    <t>Outstanding (Rs.)</t>
  </si>
  <si>
    <t>Monthly EMI / instalment (Rs.)</t>
  </si>
  <si>
    <t>Reflected in CRIF/CIBIL? (Yes / No)</t>
  </si>
  <si>
    <t>Timestamp + remarks (overdue? justification taken?)</t>
  </si>
  <si>
    <t>Loan seen on CIBIL — Rs.3.5 lakh (lender garbled on audio)</t>
  </si>
  <si>
    <t>Bank/NBFC</t>
  </si>
  <si>
    <t>Yes</t>
  </si>
  <si>
    <t>8:02–8:25 — late instalments confronted; justification taken ('shaadi' expense context, partly garbled); EMI figure not stated</t>
  </si>
  <si>
    <t>TOTAL OBLIGATIONS AS PER CALL</t>
  </si>
  <si>
    <t>Outstanding total ← E · Monthly EMI total ← F</t>
  </si>
  <si>
    <t>Undisclosed obligation found on ground? (YES → PD-RF-4 / NO)</t>
  </si>
  <si>
    <t>NO undisclosed obligation surfaced — but MFI/SHG, KCC/society, gold and hand-loan probes were NOT made household-wide, so this is unconfirmed.</t>
  </si>
  <si>
    <t>Loan enquiries in last 3 months &amp; OUTCOME of each (per call)</t>
  </si>
  <si>
    <t>Probed well (8:28–8:52): enquiries of Rs.50,000 and Rs.1 lakh visible in bureau put to the borrower — where filed and whether availed discussed (outcome details partly garbled).</t>
  </si>
  <si>
    <t>HEAD 3 — FAMILY DETAILS (as narrated on the call)</t>
  </si>
  <si>
    <t>One row per family member discussed — who they are, what they do, whether they were met and are aware of the loan and the mortgage.</t>
  </si>
  <si>
    <t>Name</t>
  </si>
  <si>
    <t>Relation to borrower</t>
  </si>
  <si>
    <t>Age</t>
  </si>
  <si>
    <t>Occupation / contributes income? (which stream above)</t>
  </si>
  <si>
    <t>Met in person? (Yes / No)</t>
  </si>
  <si>
    <t>Aware of loan &amp; mortgage? (Yes / No)</t>
  </si>
  <si>
    <t>Remarks (repayment intent, objections, health, etc.)</t>
  </si>
  <si>
    <t>Father</t>
  </si>
  <si>
    <t>No</t>
  </si>
  <si>
    <t>Not established</t>
  </si>
  <si>
    <t>Alive, in household (8:52–9:23)</t>
  </si>
  <si>
    <t>Mother</t>
  </si>
  <si>
    <t>Alive, in household</t>
  </si>
  <si>
    <t>Wife</t>
  </si>
  <si>
    <t>Presumed co-borrower — NOT interviewed on record</t>
  </si>
  <si>
    <t>Two daughters</t>
  </si>
  <si>
    <t>Daughters</t>
  </si>
  <si>
    <t>Dependents (presumed)</t>
  </si>
  <si>
    <t>One son</t>
  </si>
  <si>
    <t>Son</t>
  </si>
  <si>
    <t>Dependent (presumed)</t>
  </si>
  <si>
    <t>Family size (members in household)</t>
  </si>
  <si>
    <t>No. of dependents (non-earning)</t>
  </si>
  <si>
    <t>Not stated</t>
  </si>
  <si>
    <t>No. of earning members</t>
  </si>
  <si>
    <t>Monthly household expense stated on call (Rs.)</t>
  </si>
  <si>
    <t>Co-borrower name &amp; relation</t>
  </si>
  <si>
    <t>Not identified on record</t>
  </si>
  <si>
    <t>Co-borrower met in person AND aware collateral will be mortgaged? (YES / NO)</t>
  </si>
  <si>
    <t>NO — no co-borrower interviewed on the recording; mortgage-awareness of co-borrower not established (Gate K4 / PD-RF-7 check pending)</t>
  </si>
  <si>
    <t>REPAYMENT CAPACITY SNAPSHOT (auto from the heads above)</t>
  </si>
  <si>
    <t>Total assessed monthly income (from Head 1)</t>
  </si>
  <si>
    <t>Less: monthly household expenses (from Head 3)</t>
  </si>
  <si>
    <t>Less: existing monthly EMIs (from Head 2)</t>
  </si>
  <si>
    <t>MONTHLY SURPLUS (income − expenses − EMIs)</t>
  </si>
  <si>
    <t>Proposed EMI for this loan (Rs.) — enter</t>
  </si>
  <si>
    <t>Surplus cover (surplus ÷ proposed EMI)</t>
  </si>
  <si>
    <t>FOIR incl. proposed EMI ((EMIs + proposed) ÷ assessed income)</t>
  </si>
  <si>
    <t>Disposable-income floor met? (Rs.10,000 / 12,500 / 15,000 by FOIR slab — YES / NO)</t>
  </si>
  <si>
    <t>CANNOT COMPUTE — household expenses and existing EMI amounts were not quantified on record; complete the surplus arithmetic on the re-recorded narration.</t>
  </si>
  <si>
    <t>OTHER KEY FACTS FROM THE CALL — MANAGEMENT VIEW</t>
  </si>
  <si>
    <t>End use of loan — stated purpose &amp; ground verification</t>
  </si>
  <si>
    <t>Stated by borrower: clear outstanding udhaari/bakaya first, then stock purchase and setting up a GENERAL STORE (9:49–10:44) — business-linked, not restricted. Ground verification of the plan (kitna/kahan/kab) incomplete.</t>
  </si>
  <si>
    <t>Collateral — type, owner, papers seen (original?), approx. value &amp; basis, LTV sense</t>
  </si>
  <si>
    <t>Self-occupied house, village Kichlay — 900 sq ft, ground + two rooms on upper floor (9:26–9:48). Papers ASKED but original-sighting not confirmed; owner names probed for land (7:28); NO value estimate, NO risk screen (lien/ST/HT/negative zone) on record.</t>
  </si>
  <si>
    <t>Neighbour checks — substance of what business &amp; residence neighbours said</t>
  </si>
  <si>
    <t>NONE DONE — no business neighbour, no residence neighbour spoken to anywhere on the recording (Gate K5 FAIL).</t>
  </si>
  <si>
    <t>Red flags raised on call (PD-RF codes + timestamps) — or "NONE stated"</t>
  </si>
  <si>
    <t>None formally raised by BCM. Evaluator-noted items: DJ business runs without gram-panchayat permission (7:15); kirana shop has no signboard (11:54); no bills for contracting income (4:20); CIBIL late-instalment history (8:02 — justification taken).</t>
  </si>
  <si>
    <t>Discrepancies — call vs application / bureau / photos (or "None noted")</t>
  </si>
  <si>
    <t>Cannot reconcile — application, CAM and photo uploads not provided to evaluator. Within the call itself, no contradictions noted.</t>
  </si>
  <si>
    <t>BCM's recommendation on call (Recommend / with conditions / Reject) + reasons</t>
  </si>
  <si>
    <t>NOT STATED — recording ends at 12:02 on the signboard remark with no recommendation and no next-steps to the borrower.</t>
  </si>
  <si>
    <t>Evaluator's note to management — what needs attention before sanction</t>
  </si>
  <si>
    <t>Substance is largely good (on-site cash-box check, bureau confrontation, honest gap-flagging) but the narration is INVALID: under-length (12m), zero neighbour verification, no co-borrower interview, no photo confirmation, no collateral value/risk screen, no recommendation. Re-record after completing those legs; supply CAM + photos for reconciliation.</t>
  </si>
  <si>
    <t>MANAGEMENT ATTENTION REQUIRED?</t>
  </si>
  <si>
    <t>YES</t>
  </si>
  <si>
    <t>YES → route to RCM/CCRO with the note above · NO → file may proceed on the Scorecard verdict alone</t>
  </si>
  <si>
    <t>Rule: every figure in this summary must have been SPOKEN on the recording (with timestamp) or be explicitly marked "Not stated". The summary never replaces the Scorecard — it sits beside the score, gates and verdict shown in the header.</t>
  </si>
  <si>
    <t>PRODIGEE FINANCE LIMITED — BCM PHYSICAL PD SELF-AUDIO · SUCCESS CRITERIA SCORECARD V1.0</t>
  </si>
  <si>
    <t>Aligned to LAP Credit Policy V2.3 (Part E.1) · Companion to BCM_PD_Audio_Success_Criteria_Framework_V1.docx · A 15–30 minute self-recorded narration made the SAME DAY, after ALL PD visits.</t>
  </si>
  <si>
    <t>HOW TO USE</t>
  </si>
  <si>
    <t>1. Open the 'Scorecard' sheet. Fill ONLY the yellow cells: header details, Coverage (Full / Partial / None / N/A) and gate Results (PASS/FAIL).</t>
  </si>
  <si>
    <t>2. Coverage: Full = narrated completely with specifics (names, figures, observations) · Partial = mentioned but vague/incomplete · None = not narrated · N/A = not applicable (e.g. Section C when no agricultural income is considered).</t>
  </si>
  <si>
    <t>3. Score, subtotals, band and verdict calculate automatically. Minimum pass: Score ≥ 75 AND all 8 gates PASS AND no open red flag — required before PD Report/CAM/BRE submission.</t>
  </si>
  <si>
    <t>4. The 'Gap &amp; Coaching Report' sheet fills itself — every item not narrated, with exactly what to speak next time. Clear list = 100. Target 90+.</t>
  </si>
  <si>
    <t>5. The BCM's recommendation is separate from the score — a well-reasoned negative recommendation scores Full on G3.</t>
  </si>
  <si>
    <t>6. NEW — 'Call Summary' sheet: a one-page management digest of the recording. The evaluator fills the yellow cells — every income source stated on the call, every obligation stated, family details, surplus arithmetic and other key facts — so management reads the summary instead of hearing the audio. Header, totals and verdict pull automatically from the Scorecard.</t>
  </si>
  <si>
    <t>BCM PHYSICAL PD SELF-AUDIO — SUCCESS CRITERIA SCORECARD (V1.0) · Business Loan Against Property</t>
  </si>
  <si>
    <t>Stated on record (0:00–0:15) but the ID digits are not intelligible on ASR — take from PRAGATI</t>
  </si>
  <si>
    <t>Evaluator (AI Agent / Reviewer)</t>
  </si>
  <si>
    <t>Claude (AI Evaluation Agent) for Atanu Pandey — 20-Aug-2026</t>
  </si>
  <si>
    <t>Ramkishan Dhakad, village Kichlay (as stated at 0:00–0:28; spelling per audio)</t>
  </si>
  <si>
    <t>Sharad Verma, Branch Credit Manager (self-intro 0:00–0:10)</t>
  </si>
  <si>
    <t>19-Aug-2026, ~4:00 pm (stated on record; matches file creation 19-Aug 16:15 IST)</t>
  </si>
  <si>
    <t>ID</t>
  </si>
  <si>
    <t>Success Criterion</t>
  </si>
  <si>
    <t>What the narration must state (checklist)</t>
  </si>
  <si>
    <t>Reference</t>
  </si>
  <si>
    <t>Critical</t>
  </si>
  <si>
    <t>Max Pts</t>
  </si>
  <si>
    <t>Coverage</t>
  </si>
  <si>
    <t>Pts Scored</t>
  </si>
  <si>
    <t>Remarks / evidence (timestamp)</t>
  </si>
  <si>
    <t>SECTION A — RECORDING SETUP &amp; VISIT IDENTIFICATION   (minute 0–2)</t>
  </si>
  <si>
    <t>A1</t>
  </si>
  <si>
    <t>Case identified on record</t>
  </si>
  <si>
    <t>Application ID, customer name, village/town, product, loan amount applied — stated at the start. Confirm pre-visit preparation: CRIF/CIBIL bureau report, CPA remarks and BPS score reviewed on PRAGATI before the visit.</t>
  </si>
  <si>
    <t>PRAGATI case record</t>
  </si>
  <si>
    <t>—</t>
  </si>
  <si>
    <t>Full</t>
  </si>
  <si>
    <t>0:00–0:28 — model opening: BCM name &amp; designation, Application ID (digits garbled on ASR), customer Ramkishan Dhakad, village Kichlay, loan amount Rs.12 lakh, date 19-Aug, time 4 pm. Pre-visit bureau prep not verbally confirmed but demonstrated later (CIBIL loan and enquiries confronted, 8:02–8:52).</t>
  </si>
  <si>
    <t>A2</t>
  </si>
  <si>
    <t>All visits confirmed — when and whom</t>
  </si>
  <si>
    <t>Date/time of each visit (business(es), residence, collateral — or same site), who was met at each, who accompanied. Borrower met personally at business.</t>
  </si>
  <si>
    <t>Policy E.1; Gates K2/K3/K4</t>
  </si>
  <si>
    <t>Partial</t>
  </si>
  <si>
    <t>0:27–0:46 — residence AND business visits confirmed, same day; borrower interviewed live at the shop. But per-visit date/time detail, who was met at each site, and who accompanied were not stated.</t>
  </si>
  <si>
    <t>A3</t>
  </si>
  <si>
    <t>Photo/document capture confirmed</t>
  </si>
  <si>
    <t>Geo-tagged photos — business premises, QR codes, hoarding/signboard, stock, bills — business-neighbour signboards, residence-neighbour contacts, dairy selfie, agri photos/GPS video (if agri &gt;Rs.10k/mo) — confirmed taken &amp; uploaded.</t>
  </si>
  <si>
    <t>Policy E.1; Gate K8</t>
  </si>
  <si>
    <t>No confirmation anywhere that geo-tagged photos (premises, stock, signboards, residence/ELSI assets) were taken and uploaded. (The BCM even notes the shop has NO signboard, 11:54–12:00, but never mentions photo capture.)</t>
  </si>
  <si>
    <t>A4</t>
  </si>
  <si>
    <t>Same-day recording, correct duration</t>
  </si>
  <si>
    <t>Recorded same day after all visits; 15–30 minutes total.</t>
  </si>
  <si>
    <t>Gate K1</t>
  </si>
  <si>
    <t>Recorded same day after the visits (19-Aug, ~4 pm — matches metadata) but duration is 12m02s, below the 15-minute mandatory floor (Gate K1).</t>
  </si>
  <si>
    <t>SECTION B — BUSINESS VERIFICATION — EVERY INCOME STREAM   (minute 2–9)</t>
  </si>
  <si>
    <t>B1</t>
  </si>
  <si>
    <t>Every business visited and described as seen</t>
  </si>
  <si>
    <t>For EACH declared income business — including any business or income source run by the father, mother, wife, son or any other family member: premises, stock, staff, foot traffic during visit, equipment, signboard — concrete observations; each assessed with documentary evidence and photographed. Stream not visited = Gate K3 FAIL.</t>
  </si>
  <si>
    <t>Policy E.1; PD Report §2</t>
  </si>
  <si>
    <t>Streams covered: thekedari/plaster contracting (0:55–2:51), kirana shop — visited, described, cash-box checked (4:44–5:32), DJ set-up (6:25–7:34), agri land (7:28–7:56), and a garbled 'bhatta'(?) mention in the summary (10:38). Only the shop is described 'as seen'; contracting sites, DJ equipment and land are covered by interview, not observation; family-member businesses not probed.</t>
  </si>
  <si>
    <t>B2</t>
  </si>
  <si>
    <t>Borrower met at business; operations explained on site</t>
  </si>
  <si>
    <t>Borrower personally showed the business; day-to-day account summarised.</t>
  </si>
  <si>
    <t>Gate K2</t>
  </si>
  <si>
    <t>Borrower met personally AT the business — live on-site interview; BCM physically checks the shop's cash box ('galla uthake', 5:08–5:32) and quizzes stock, staff and daily takings on the spot.</t>
  </si>
  <si>
    <t>B3</t>
  </si>
  <si>
    <t>Income assessed per stream with arithmetic</t>
  </si>
  <si>
    <t>Daily/monthly sales, ANNUAL turnover, margin/profit %, seasonality, assessed monthly income per stream — profitability calculated from verified income and expenses; PRAGATI-model arithmetic aloud; totals stated.</t>
  </si>
  <si>
    <t>PRAGATI model; Policy C.3</t>
  </si>
  <si>
    <t>Arithmetic narrated per stream: per-contract value ~Rs.4 lakh with per-contract profit discussed (2:06–2:27; 11:05–11:25), plaster rates per sq ft (1:42–2:05), kirana margin worked to ~Rs.25–30k/month (5:11–5:32), DJ takings probed (6:25–6:49), and a closing summary that totals streams aloud (10:38–11:47). Several figures are garbled on ASR — verify against the CAM.</t>
  </si>
  <si>
    <t>B4</t>
  </si>
  <si>
    <t>Income documents asked and examined</t>
  </si>
  <si>
    <t>Receipts, sales/purchase bills, kata parchi, UPI/banking, dairy passbook — asked, produced, photographed; absence stated honestly. PLUS AA completeness: confirm the Account Aggregator pull covers ALL main transacting business accounts; if any is missing, INITIATE the AA on the spot with the borrower's OTP.</t>
  </si>
  <si>
    <t>Policy C.3/C.4</t>
  </si>
  <si>
    <t>Bills/parchi asked — customer has none, honestly recorded (4:20–4:44); payments confirmed to come into the bank account (2:28–2:51); one-year PhonePe/bank statement demanded (3:16–3:42). But no document is examined on record and AA completeness is not addressed.</t>
  </si>
  <si>
    <t>B5</t>
  </si>
  <si>
    <t>Business-neighbour enquiry narrated</t>
  </si>
  <si>
    <t>2+ neighbouring businesses spoken to — names/contacts, signboards photographed; substance of what they said.</t>
  </si>
  <si>
    <t>Policy E.1; Gate K5</t>
  </si>
  <si>
    <t>No business-neighbour enquiry narrated anywhere — no names, contacts or substance (Gate K5).</t>
  </si>
  <si>
    <t>B6</t>
  </si>
  <si>
    <t>Genuineness view — no staged setup</t>
  </si>
  <si>
    <t>Explicit view per stream that the setup is genuine (own stock, truly operating) — or suspicion stated and escalated (PD-RF-1).</t>
  </si>
  <si>
    <t>Gate K6; PD-RF-1</t>
  </si>
  <si>
    <t>No explicit genuineness/staged-setup verdict per stream. Good implicit checks exist (cash-box lift, stock questions, no-signboard observation flagged at 11:54) but the rubric wants the view stated.</t>
  </si>
  <si>
    <t>SECTION C — AGRICULTURAL INCOME VERIFICATION   (minute 9–12 · N/A if no agri income considered)</t>
  </si>
  <si>
    <t>C1</t>
  </si>
  <si>
    <t>Land visited; ownership and acreage verified</t>
  </si>
  <si>
    <t>Land seen (or GPS video if distant &amp; agri income &gt;Rs.10k/mo); owner named, checked on Bhulekh/SatSure; acreage stated. Leased-in land ≠ agri income.</t>
  </si>
  <si>
    <t>Policy C.7; E.1</t>
  </si>
  <si>
    <t>Land probed in interview — bighas and in whose name (7:28–7:56; figures garbled: ~8 bigha / 3.5 bigha family-split). No site visit or GPS video mentioned, no Bhulekh check.</t>
  </si>
  <si>
    <t>C2</t>
  </si>
  <si>
    <t>Crops and yield verified with proof</t>
  </si>
  <si>
    <t>Crops per season, what is standing/sown; mandi receipts (last 4 seasons avg) or sale proof examined; assessed agri income per model.</t>
  </si>
  <si>
    <t>Policy C.7</t>
  </si>
  <si>
    <t>Crops, yields, mandi receipts — not covered at all.</t>
  </si>
  <si>
    <t>C3</t>
  </si>
  <si>
    <t>Cultivation genuineness + KCC noted</t>
  </si>
  <si>
    <t>Actually cultivating? KCC limit/obligation noted. False/overstated agri claim = PD-RF-5.</t>
  </si>
  <si>
    <t>Policy C.5/C.7; PD-RF-5</t>
  </si>
  <si>
    <t>Cultivation genuineness and KCC not probed. NOTE: if the CAM counts no agri income, mark C1–C3 N/A instead and the score rises accordingly.</t>
  </si>
  <si>
    <t>SECTION D — OBLIGATIONS &amp; FAMILY EXPENSES   (minute 12–15)</t>
  </si>
  <si>
    <t>D1</t>
  </si>
  <si>
    <t>All obligations enumerated with amounts</t>
  </si>
  <si>
    <t>Existing EMIs of borrower AND co-borrowers — every loan running in the CRIF/CIBIL report — MFI/SHG/JLG, KCC/society/PACS, gold, third-party and market/hand loans — lender + monthly amount each; justification taken on record for any default/overdue in CRIF/CIBIL. Undisclosed found = PD-RF-4.</t>
  </si>
  <si>
    <t>Policy C.5; PD-RF-4</t>
  </si>
  <si>
    <t>CIBIL confronted well: the Rs.3.5-lakh loan with late instalments put to the borrower and justification taken (8:02–8:25). But MFI/SHG, KCC/society, gold and hand/market loans were not individually asked, and co-borrower obligations not covered.</t>
  </si>
  <si>
    <t>D2</t>
  </si>
  <si>
    <t>Family expenses and lifestyle assessed</t>
  </si>
  <si>
    <t>Family size, dependents, Rs.2,000–3,000/member norm, living standard (ELSI assets) consistent with claimed income.</t>
  </si>
  <si>
    <t>Policy C.2; PRAGATI model</t>
  </si>
  <si>
    <t>Family size established — 7 members: parents, wife, two daughters, one son (8:52–9:23). But dependents count, per-member expense norm and ELSI/living-standard assessment not narrated.</t>
  </si>
  <si>
    <t>D3</t>
  </si>
  <si>
    <t>Surplus arithmetic narrated</t>
  </si>
  <si>
    <t>Assessed income − expenses − existing EMIs = surplus vs proposed EMI; disposable floor (Rs.10,000/12,500/15,000 by FOIR slab) checked aloud.</t>
  </si>
  <si>
    <t>Policy C.2</t>
  </si>
  <si>
    <t>Closing summary totals income streams aloud (10:38–11:47) and references the monthly EMI, but the full surplus chain (income − expenses − EMIs vs proposed EMI, disposable floor) is not completed on record; figures heavily garbled.</t>
  </si>
  <si>
    <t>D4</t>
  </si>
  <si>
    <t>Recent loan enquiries (last 3 months) probed with outcomes</t>
  </si>
  <si>
    <t>Loan applications/enquiries of borrower &amp; co-borrowers in the LAST 3 MONTHS asked and narrated: lender, amount, purpose — and the OUTCOME of each stated on record (approved/sanctioned &amp; disbursed?, rejected — reason, or pending/withdrawn); cross-checked with bureau enquiry list. No enquiry = say so explicitly.</t>
  </si>
  <si>
    <t>Policy C.5; bureau enquiry report</t>
  </si>
  <si>
    <t>8:28–8:52 — bureau enquiries specifically confronted: 'Rs.50,000 and Rs.1-lakh enquiries dikh rahi hain — ye files kahan lagayi, inmein se kuch liya?' — outcomes discussed.</t>
  </si>
  <si>
    <t>SECTION E — RESIDENCE VISIT, FAMILY &amp; CO-BORROWER   (minute 15–20)</t>
  </si>
  <si>
    <t>E1</t>
  </si>
  <si>
    <t>Residence visited and described</t>
  </si>
  <si>
    <t>Ownership, years at address, construction/condition, household assets seen; utility bills/Patta cross-checked. Residence photos + ELSI asset captures — TV, fridge, washing machine, two-wheeler, four-wheeler, gas connection, electricity meter — taken and uploaded.</t>
  </si>
  <si>
    <t>Policy E.1; ELSI</t>
  </si>
  <si>
    <t>Residence visited (0:27) and the house quantified — 900 sq ft, ground + two rooms upper floor, self-occupied (9:26–9:48). Ownership years, construction condition, utility-bill cross-check and ELSI asset capture not narrated.</t>
  </si>
  <si>
    <t>E2</t>
  </si>
  <si>
    <t>Family and co-borrower interviewed</t>
  </si>
  <si>
    <t>Each person spoken to named + substance: loan awareness, amount, end use, requirement view, household obligations, repayment intent; what each family member does. Co-borrower (wife/mother) MANDATORILY met in person and aware the collateral will be mortgaged to Prodigee. Samagra ID and KYC of borrower and ALL co-borrowers physically checked. Unaware/opposed = PD-RF-7.</t>
  </si>
  <si>
    <t>Policy E.1; Gate K4; PD-RF-7</t>
  </si>
  <si>
    <t>Family enumerated with the borrower (7 members, 8:52–9:23) but no family member or co-borrower is interviewed on record, and the mandatory co-borrower (wife/mother) meeting + mortgage-awareness confirmation is absent (Gate K4 impact).</t>
  </si>
  <si>
    <t>E3</t>
  </si>
  <si>
    <t>Residence-neighbour enquiry narrated</t>
  </si>
  <si>
    <t>2+ residence neighbours — names/contacts; reputation, conduct, any adverse information.</t>
  </si>
  <si>
    <t>No residence-neighbour enquiry narrated (Gate K5).</t>
  </si>
  <si>
    <t>E4</t>
  </si>
  <si>
    <t>Customer education confirmed</t>
  </si>
  <si>
    <t>Confirmed told: Business LAP with mortgage, indicative EMI, Clean Track Reward (last 3 EMIs waived), ZERO COMMISSION policy — Prodigee takes no commission and the borrower must NOT pay or entertain anyone who asks for one — Prodigee = trust &amp; integrity.</t>
  </si>
  <si>
    <t>KFS norms; Zero Commission Policy</t>
  </si>
  <si>
    <t>No customer education recorded — mortgage/EMI/Clean Track Reward/Zero-Commission speech absent. (Login fee of ~Rs.1,700 was checked at 0:55–1:19 — an integrity probe, but not the education item.)</t>
  </si>
  <si>
    <t>SECTION F — COLLATERAL VERIFICATION   (minute 20–25)</t>
  </si>
  <si>
    <t>F1</t>
  </si>
  <si>
    <t>Collateral visited and physically described</t>
  </si>
  <si>
    <t>Type, self-occupied/rented, construction quality, approx age (20-yr rule/structural note), carpet area vs 400/100 sq.ft, independent access, kitchen/toilet.</t>
  </si>
  <si>
    <t>Policy F.3</t>
  </si>
  <si>
    <t>Collateral (same house): 900 sq ft, two floors, self-occupied (9:26–9:48). Construction quality, age/20-yr rule, carpet-area rule, independent access, kitchen/toilet not described.</t>
  </si>
  <si>
    <t>F2</t>
  </si>
  <si>
    <t>Original papers seen; owner and title chain</t>
  </si>
  <si>
    <t>Original title deeds sighted (or exact status), owner named, acquisition story, mutation, heirs/NOC; document type (Sale Deed/Patta; 1/2-pager not allowed; 5-pager Rs.10L cap).</t>
  </si>
  <si>
    <t>Policy F.3/J.2; Gate K7</t>
  </si>
  <si>
    <t>Papers asked — 'kagaz kya hain aapke paas, kaise kagaz?' (9:26–9:48) and land ownership names probed (7:28–7:56), but sighting of ORIGINAL title deeds is not confirmed and the title chain/heirs are not walked through.</t>
  </si>
  <si>
    <t>F3</t>
  </si>
  <si>
    <t>Approximate market value with basis</t>
  </si>
  <si>
    <t>Value estimate with basis (local rates, transactions, neighbour input); LTV sense; distress-value view (80% cap).</t>
  </si>
  <si>
    <t>No market-value estimate with basis, no LTV sense, no distress-value view narrated.</t>
  </si>
  <si>
    <t>F4</t>
  </si>
  <si>
    <t>Risk screen stated</t>
  </si>
  <si>
    <t>Lien-free/no-dispute, not ST/tribal land, not near HT line/riverbank/encroachment, no negative zone, no demolition risk. Issue = PD-RF-6.</t>
  </si>
  <si>
    <t>Policy F.3/J.2; PD-RF-6</t>
  </si>
  <si>
    <t>No risk screen — lien/dispute, ST land, HT line/riverbank, negative zone, demolition — none stated.</t>
  </si>
  <si>
    <t>SECTION G — END USE &amp; OVERALL ASSESSMENT   (minute 25–28)</t>
  </si>
  <si>
    <t>G1</t>
  </si>
  <si>
    <t>End use verified on ground</t>
  </si>
  <si>
    <t>Stated purpose vs ground reality; required loan amount enquired and the utilisation questioned thoroughly — how much, where, when; not a restricted use (speculation, new unrelated business, milch animals, illegal).</t>
  </si>
  <si>
    <t>Policy B.3</t>
  </si>
  <si>
    <t>End use probed twice: 'aur loan kis liye? — general store daalna hai' with cost probing (9:49–10:12) and 'pehle udhaari/bakaya clear karenge, phir maal kharidne ke liye' (10:12–10:44) — consolidation + stock + store expansion, business-linked, not restricted. But the how-much/where/when break-up was not completed.</t>
  </si>
  <si>
    <t>G2</t>
  </si>
  <si>
    <t>Overall credit view</t>
  </si>
  <si>
    <t>Total assessed income vs loan sought; capacity AND intent view; every red flag found — or explicit statement that none was found.</t>
  </si>
  <si>
    <t>CAM/BRE inputs</t>
  </si>
  <si>
    <t>Closing summary narrates income totals for the streams (10:38–11:47) against the Rs.12-lakh ask, but no explicit capacity+intent view and no every-red-flag-or-none statement.</t>
  </si>
  <si>
    <t>G3</t>
  </si>
  <si>
    <t>Clear recommendation with reasons</t>
  </si>
  <si>
    <t>Recommend / recommend-with-conditions / reject — with specific reasons for the PD Report and CAM. A reasoned negative recommendation scores Full. Borrower told: decision will be taken soon; if any further documents are needed, the BCM will call.</t>
  </si>
  <si>
    <t>PD Report; CAM</t>
  </si>
  <si>
    <t>Recording ends (11:54–12:02) on the no-signboard observation — no recommend / recommend-with-conditions / reject stated, no next-steps message to the borrower.</t>
  </si>
  <si>
    <t>SECTION H — NARRATION QUALITY   (throughout)</t>
  </si>
  <si>
    <t>H1</t>
  </si>
  <si>
    <t>Structured and specific</t>
  </si>
  <si>
    <t>Section order followed; names, numbers, observations — no vague filler.</t>
  </si>
  <si>
    <t>This framework</t>
  </si>
  <si>
    <t>Model structure: case header → visits → login-fee integrity → per-stream income with arithmetic → bureau confrontation → family → residence/collateral → end use → summary. Names and numbers throughout.</t>
  </si>
  <si>
    <t>H2</t>
  </si>
  <si>
    <t>Duration and audibility</t>
  </si>
  <si>
    <t>15–30 minutes, single continuous recording, ≥90% intelligible.</t>
  </si>
  <si>
    <t>12m02s — below the 15-minute mandatory minimum; single continuous recording, both voices audible (48 kHz — best audio of the three recordings).</t>
  </si>
  <si>
    <t>H3</t>
  </si>
  <si>
    <t>Honest flagging of gaps</t>
  </si>
  <si>
    <t>Facts vs opinion separated; what could not be verified stated as such; discrepancies flagged.</t>
  </si>
  <si>
    <t>Gate K6 spirit</t>
  </si>
  <si>
    <t>Honest flagging is the strength of this narration: no bills — stated (4:20); DJ lacks gram-panchayat permission — stated (7:15–7:34); shop has no signboard — stated (11:54); CIBIL late instalments confronted with justification (8:02).</t>
  </si>
  <si>
    <t>SECTION SUBTOTALS</t>
  </si>
  <si>
    <t>Section</t>
  </si>
  <si>
    <t>Applicable Pts</t>
  </si>
  <si>
    <t>Scored</t>
  </si>
  <si>
    <t>Coverage %</t>
  </si>
  <si>
    <t>A — Recording Setup &amp; Visit Identification</t>
  </si>
  <si>
    <t>B — Business Verification (every income stream)</t>
  </si>
  <si>
    <t>C — Agricultural Income Verification</t>
  </si>
  <si>
    <t>D — Obligations &amp; Family Expenses</t>
  </si>
  <si>
    <t>E — Residence, Family &amp; Co-Borrower</t>
  </si>
  <si>
    <t>F — Collateral Verification</t>
  </si>
  <si>
    <t>G — End Use &amp; Overall Assessment</t>
  </si>
  <si>
    <t>H — Narration Quality</t>
  </si>
  <si>
    <t>KNOCK-OUT GATES (any FAIL ⇒ NARRATION INVALID)</t>
  </si>
  <si>
    <t>Gate</t>
  </si>
  <si>
    <t>Requirement</t>
  </si>
  <si>
    <t>Result (PASS/FAIL)</t>
  </si>
  <si>
    <t>K1</t>
  </si>
  <si>
    <t>Valid recording — ≥ 15 minutes (MANDATORY), not beyond 30; audible; recorded the SAME DAY as the visits, after all sites were covered.</t>
  </si>
  <si>
    <t>FAIL</t>
  </si>
  <si>
    <t>K2</t>
  </si>
  <si>
    <t>The BCM personally met the MAIN BORROWER at the business premises — not by phone, not through a relative or third party.</t>
  </si>
  <si>
    <t>PASS</t>
  </si>
  <si>
    <t>K3</t>
  </si>
  <si>
    <t>EVERY declared income-generating business/site physically visited (all streams; dairy shed and agri land included where considered).</t>
  </si>
  <si>
    <t>K4</t>
  </si>
  <si>
    <t>Residence AND collateral visited (or confirmed same site); family members and the co-borrower spoken to.</t>
  </si>
  <si>
    <t>K5</t>
  </si>
  <si>
    <t>Neighbour verification done — at least 2 business neighbours and 2 residence neighbours enquired, names/contacts collected.</t>
  </si>
  <si>
    <t>K6</t>
  </si>
  <si>
    <t>No staged/fake setup left unreported — any suspicion stated and escalated, not smoothed over.</t>
  </si>
  <si>
    <t>K7</t>
  </si>
  <si>
    <t>Collateral papers physically seen — original title documents sighted (or exact status stated), actual owner identified.</t>
  </si>
  <si>
    <t>K8</t>
  </si>
  <si>
    <t>Narration consistent with geo-tagged photographs and documents uploaded on PRAGATI — no material contradiction.</t>
  </si>
  <si>
    <t>TOTAL SCORE (normalised to 100)</t>
  </si>
  <si>
    <t>KNOCK-OUT STATUS</t>
  </si>
  <si>
    <t>GRADE BAND</t>
  </si>
  <si>
    <t>FINAL VERDICT</t>
  </si>
  <si>
    <t>GAP &amp; COACHING REPORT — what was missed in this FI (auto-generated from the Scorecard ratings)</t>
  </si>
  <si>
    <t>Fill the Coverage column on the Scorecard — every None/Partial item appears below with exactly what to narrate next time. Clear list = 100. Target: 90+ on every narration.</t>
  </si>
  <si>
    <t>SCORE</t>
  </si>
  <si>
    <t>Total score (from Scorecard)</t>
  </si>
  <si>
    <t>Points still needed to reach 90+ (A-band, model narration)</t>
  </si>
  <si>
    <t>GATES</t>
  </si>
  <si>
    <t>Knock-out gates failed (each one alone makes the narration INVALID — re-record)</t>
  </si>
  <si>
    <t>Result</t>
  </si>
  <si>
    <t>ITEM</t>
  </si>
  <si>
    <t>WHAT WAS MISSED OR LEFT INCOMPLETE — cover this next time</t>
  </si>
  <si>
    <t>Points lost</t>
  </si>
  <si>
    <t>TOTAL POINTS LOST to missed / incomplete items</t>
  </si>
  <si>
    <t>RED FLAGS — MANDATORY ESCALATION TRIGGERS (BCM PHYSICAL PD)</t>
  </si>
  <si>
    <t>Code</t>
  </si>
  <si>
    <t>Trigger detected on the call</t>
  </si>
  <si>
    <t>Required action</t>
  </si>
  <si>
    <t>PD-RF-1</t>
  </si>
  <si>
    <t>Business appears staged/fake — borrowed stock, arranged premises, or scale grossly below the claim.</t>
  </si>
  <si>
    <t>STOP — RCU referral; file held; CCRO informed</t>
  </si>
  <si>
    <t>PD-RF-2</t>
  </si>
  <si>
    <t>Borrower avoided meeting at the business / met only away from premises.</t>
  </si>
  <si>
    <t>Re-visit required; reasons recorded</t>
  </si>
  <si>
    <t>PD-RF-3</t>
  </si>
  <si>
    <t>Neighbours contradict the borrower's business or character claims.</t>
  </si>
  <si>
    <t>Record statements verbatim; escalate to RCM</t>
  </si>
  <si>
    <t>PD-RF-4</t>
  </si>
  <si>
    <t>Undisclosed obligations discovered on ground (market/hand loans, MFI, society).</t>
  </si>
  <si>
    <t>Re-run obligations in CAM; RCM/CCRO note</t>
  </si>
  <si>
    <t>PD-RF-5</t>
  </si>
  <si>
    <t>Agri income claimed but land not owned / not cultivated / no yield proof.</t>
  </si>
  <si>
    <t>Strike agri income from CAM; reassess eligibility</t>
  </si>
  <si>
    <t>PD-RF-6</t>
  </si>
  <si>
    <t>Collateral problem — papers not original/complete, disputed, third-party occupied, ST land, negative zone.</t>
  </si>
  <si>
    <t>STOP — Legal/RCU before any further processing</t>
  </si>
  <si>
    <t>PD-RF-7</t>
  </si>
  <si>
    <t>Family or co-borrower unaware of / opposed to the loan; intent-default indicators.</t>
  </si>
  <si>
    <t>Hold — RCM to re-probe in Audio PD; CCRO if unresolved</t>
  </si>
  <si>
    <t>PD-RF-8</t>
  </si>
  <si>
    <t>Commission demand or hidden middleman revealed during the visits.</t>
  </si>
  <si>
    <t>STOP — CCRO + conduct referral (Zero Commission Policy)</t>
  </si>
  <si>
    <t>SCORE BANDS &amp; ACTIONS</t>
  </si>
  <si>
    <t>Score</t>
  </si>
  <si>
    <t>Band</t>
  </si>
  <si>
    <t>Action</t>
  </si>
  <si>
    <t>90–100</t>
  </si>
  <si>
    <t>A — Excellent</t>
  </si>
  <si>
    <t>Model narration; training library.</t>
  </si>
  <si>
    <t>75–89</t>
  </si>
  <si>
    <t>B — Pass</t>
  </si>
  <si>
    <t>Narration acceptable — submit PD Report/CAM/BRE.</t>
  </si>
  <si>
    <t>60–74</t>
  </si>
  <si>
    <t>C — Conditional</t>
  </si>
  <si>
    <t>Supplementary narration covering the gap list before CAM submission.</t>
  </si>
  <si>
    <t>Below 60</t>
  </si>
  <si>
    <t>D — Fail</t>
  </si>
  <si>
    <t>Re-record after review with RCM; counts in BCM quality MIS.</t>
  </si>
  <si>
    <t>Any knock-out failed</t>
  </si>
  <si>
    <t>INVALID</t>
  </si>
  <si>
    <t>Recording rejected regardless of score; re-conduct.</t>
  </si>
  <si>
    <t>Minimum passing standard: Score ≥ 75 AND all 8 knock-out gates PASS AND no open red flag.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</si>
</sst>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  <charset val="1"/>
    </font>
    <font>
      <b/>
      <sz val="11"/>
      <name val="Aptos Display"/>
      <family val="2"/>
      <charset val="1"/>
    </font>
    <font>
      <sz val="11"/>
      <name val="Aptos Display"/>
      <family val="2"/>
      <charset val="1"/>
    </font>
    <font>
      <sz val="11"/>
      <name val="Aptos Display"/>
      <family val="2"/>
    </font>
    <font>
      <b/>
      <sz val="13"/>
      <color rgb="FFFFFFFF"/>
      <name val="Aptos Display"/>
      <family val="2"/>
    </font>
    <font>
      <b/>
      <sz val="11"/>
      <color rgb="FFFFFFFF"/>
      <name val="Aptos Display"/>
      <family val="2"/>
      <charset val="1"/>
    </font>
    <font>
      <i/>
      <sz val="10"/>
      <color rgb="FF595959"/>
      <name val="Aptos Display"/>
      <family val="2"/>
    </font>
    <font>
      <b/>
      <sz val="11"/>
      <name val="Aptos Display"/>
      <family val="2"/>
    </font>
    <font>
      <sz val="10"/>
      <name val="Aptos Display"/>
      <family val="2"/>
    </font>
    <font>
      <b/>
      <sz val="11"/>
      <color rgb="FFFFFFFF"/>
      <name val="Aptos Display"/>
      <family val="2"/>
    </font>
    <font>
      <b/>
      <sz val="10"/>
      <color rgb="FFFFFFFF"/>
      <name val="Aptos Display"/>
      <family val="2"/>
    </font>
    <font>
      <b/>
      <sz val="12"/>
      <color rgb="FFFFFFFF"/>
      <name val="Aptos Display"/>
      <family val="2"/>
    </font>
    <font>
      <b/>
      <sz val="12"/>
      <name val="Aptos Display"/>
      <family val="2"/>
    </font>
    <font>
      <i/>
      <sz val="11"/>
      <color rgb="FF595959"/>
      <name val="Aptos Display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D9E2F3"/>
        <bgColor rgb="FFF2F2F2"/>
      </patternFill>
    </fill>
    <fill>
      <patternFill patternType="solid">
        <fgColor rgb="FF7C1D1D"/>
        <bgColor rgb="FF800000"/>
      </patternFill>
    </fill>
    <fill>
      <patternFill patternType="solid">
        <fgColor rgb="FFF2F2F2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1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6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6" fillId="6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6" fillId="6" borderId="1" xfId="0" applyFont="1" applyFill="1" applyBorder="1"/>
    <xf numFmtId="0" fontId="1" fillId="5" borderId="1" xfId="0" applyFont="1" applyFill="1" applyBorder="1"/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4" fillId="3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top"/>
    </xf>
    <xf numFmtId="3" fontId="4" fillId="3" borderId="1" xfId="0" applyNumberFormat="1" applyFont="1" applyFill="1" applyBorder="1" applyAlignment="1">
      <alignment vertical="top" wrapText="1"/>
    </xf>
    <xf numFmtId="3" fontId="8" fillId="7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0" fillId="0" borderId="5" xfId="0" applyBorder="1"/>
    <xf numFmtId="0" fontId="4" fillId="7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0" borderId="4" xfId="0" applyBorder="1"/>
    <xf numFmtId="0" fontId="8" fillId="7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4" fillId="7" borderId="1" xfId="0" applyNumberFormat="1" applyFont="1" applyFill="1" applyBorder="1"/>
    <xf numFmtId="0" fontId="9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3" fillId="3" borderId="1" xfId="0" applyFont="1" applyFill="1" applyBorder="1"/>
    <xf numFmtId="3" fontId="4" fillId="3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2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1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zoomScaleNormal="100" workbookViewId="0">
      <selection activeCell="H7" sqref="H7"/>
    </sheetView>
  </sheetViews>
  <sheetFormatPr defaultColWidth="8.6640625" defaultRowHeight="14.4" x14ac:dyDescent="0.3"/>
  <cols>
    <col min="1" max="1" width="4" style="2" customWidth="1"/>
    <col min="2" max="2" width="110" style="2" customWidth="1"/>
    <col min="3" max="3" width="8.6640625" style="2" customWidth="1"/>
    <col min="4" max="16384" width="8.6640625" style="2"/>
  </cols>
  <sheetData>
    <row r="2" spans="2:2" ht="27.75" customHeight="1" x14ac:dyDescent="0.3">
      <c r="B2" s="41" t="s">
        <v>135</v>
      </c>
    </row>
    <row r="3" spans="2:2" ht="28.5" customHeight="1" x14ac:dyDescent="0.3">
      <c r="B3" s="42" t="s">
        <v>136</v>
      </c>
    </row>
    <row r="4" spans="2:2" ht="14.25" customHeight="1" x14ac:dyDescent="0.3">
      <c r="B4" s="1"/>
    </row>
    <row r="5" spans="2:2" ht="14.25" customHeight="1" x14ac:dyDescent="0.3">
      <c r="B5" s="3" t="s">
        <v>137</v>
      </c>
    </row>
    <row r="6" spans="2:2" ht="28.5" customHeight="1" x14ac:dyDescent="0.3">
      <c r="B6" s="1" t="s">
        <v>138</v>
      </c>
    </row>
    <row r="7" spans="2:2" ht="28.5" customHeight="1" x14ac:dyDescent="0.3">
      <c r="B7" s="1" t="s">
        <v>139</v>
      </c>
    </row>
    <row r="8" spans="2:2" ht="28.5" customHeight="1" x14ac:dyDescent="0.3">
      <c r="B8" s="1" t="s">
        <v>140</v>
      </c>
    </row>
    <row r="9" spans="2:2" ht="28.5" customHeight="1" x14ac:dyDescent="0.3">
      <c r="B9" s="1" t="s">
        <v>141</v>
      </c>
    </row>
    <row r="10" spans="2:2" ht="27.75" customHeight="1" x14ac:dyDescent="0.3">
      <c r="B10" s="1" t="s">
        <v>142</v>
      </c>
    </row>
    <row r="11" spans="2:2" ht="43.2" customHeight="1" x14ac:dyDescent="0.3">
      <c r="B11" s="43" t="s">
        <v>143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showGridLines="0" zoomScaleNormal="100" workbookViewId="0">
      <pane ySplit="9" topLeftCell="A67" activePane="bottomLeft" state="frozen"/>
      <selection pane="bottomLeft" activeCell="C5" sqref="C5"/>
    </sheetView>
  </sheetViews>
  <sheetFormatPr defaultColWidth="8.6640625" defaultRowHeight="14.4" x14ac:dyDescent="0.3"/>
  <cols>
    <col min="1" max="1" width="25.5546875" customWidth="1"/>
    <col min="2" max="2" width="42" customWidth="1"/>
    <col min="3" max="3" width="52" customWidth="1"/>
    <col min="4" max="4" width="26" customWidth="1"/>
    <col min="5" max="5" width="21.88671875" customWidth="1"/>
    <col min="6" max="6" width="11" customWidth="1"/>
    <col min="7" max="8" width="10" customWidth="1"/>
    <col min="9" max="9" width="45" customWidth="1"/>
  </cols>
  <sheetData>
    <row r="1" spans="1:9" ht="17.25" customHeight="1" x14ac:dyDescent="0.3">
      <c r="A1" s="72" t="s">
        <v>144</v>
      </c>
      <c r="B1" s="63"/>
      <c r="C1" s="63"/>
      <c r="D1" s="63"/>
      <c r="E1" s="63"/>
      <c r="F1" s="63"/>
      <c r="G1" s="63"/>
      <c r="H1" s="63"/>
      <c r="I1" s="63"/>
    </row>
    <row r="2" spans="1:9" ht="14.25" customHeight="1" x14ac:dyDescent="0.3">
      <c r="A2" s="4" t="s">
        <v>2</v>
      </c>
      <c r="B2" s="5" t="s">
        <v>145</v>
      </c>
      <c r="C2" s="4" t="s">
        <v>146</v>
      </c>
      <c r="D2" s="5" t="s">
        <v>147</v>
      </c>
      <c r="E2" s="6"/>
      <c r="F2" s="6"/>
      <c r="G2" s="6"/>
      <c r="H2" s="6"/>
      <c r="I2" s="6"/>
    </row>
    <row r="3" spans="1:9" ht="14.25" customHeight="1" x14ac:dyDescent="0.3">
      <c r="A3" s="4" t="s">
        <v>4</v>
      </c>
      <c r="B3" s="5" t="s">
        <v>148</v>
      </c>
      <c r="C3" s="6"/>
      <c r="D3" s="6"/>
      <c r="E3" s="6"/>
      <c r="F3" s="6"/>
      <c r="G3" s="6"/>
      <c r="H3" s="6"/>
      <c r="I3" s="6"/>
    </row>
    <row r="4" spans="1:9" ht="14.25" customHeight="1" x14ac:dyDescent="0.3">
      <c r="A4" s="4" t="s">
        <v>6</v>
      </c>
      <c r="B4" s="5" t="s">
        <v>149</v>
      </c>
      <c r="C4" s="6"/>
      <c r="D4" s="6"/>
      <c r="E4" s="6"/>
      <c r="F4" s="6"/>
      <c r="G4" s="6"/>
      <c r="H4" s="6"/>
      <c r="I4" s="6"/>
    </row>
    <row r="5" spans="1:9" ht="14.25" customHeight="1" x14ac:dyDescent="0.3">
      <c r="A5" s="4" t="s">
        <v>8</v>
      </c>
      <c r="B5" s="5" t="s">
        <v>150</v>
      </c>
      <c r="C5" s="6"/>
      <c r="D5" s="6"/>
      <c r="E5" s="6"/>
      <c r="F5" s="6"/>
      <c r="G5" s="6"/>
      <c r="H5" s="6"/>
      <c r="I5" s="6"/>
    </row>
    <row r="6" spans="1:9" ht="14.25" customHeight="1" x14ac:dyDescent="0.3">
      <c r="A6" s="4" t="s">
        <v>11</v>
      </c>
      <c r="B6" s="5">
        <v>12</v>
      </c>
      <c r="C6" s="6"/>
      <c r="D6" s="6"/>
      <c r="E6" s="6"/>
      <c r="F6" s="6"/>
      <c r="G6" s="6"/>
      <c r="H6" s="6"/>
      <c r="I6" s="6"/>
    </row>
    <row r="7" spans="1:9" ht="14.25" customHeight="1" x14ac:dyDescent="0.3">
      <c r="A7" s="4" t="s">
        <v>10</v>
      </c>
      <c r="B7" s="5">
        <v>1200000</v>
      </c>
      <c r="C7" s="6"/>
      <c r="D7" s="6"/>
      <c r="E7" s="6"/>
      <c r="F7" s="6"/>
      <c r="G7" s="6"/>
      <c r="H7" s="6"/>
      <c r="I7" s="6"/>
    </row>
    <row r="8" spans="1:9" ht="14.25" customHeight="1" x14ac:dyDescent="0.3">
      <c r="A8" s="6"/>
      <c r="B8" s="6"/>
      <c r="C8" s="6"/>
      <c r="D8" s="6"/>
      <c r="E8" s="6"/>
      <c r="F8" s="6"/>
      <c r="G8" s="6"/>
      <c r="H8" s="6"/>
      <c r="I8" s="6"/>
    </row>
    <row r="9" spans="1:9" ht="28.5" customHeight="1" x14ac:dyDescent="0.3">
      <c r="A9" s="7" t="s">
        <v>151</v>
      </c>
      <c r="B9" s="7" t="s">
        <v>152</v>
      </c>
      <c r="C9" s="7" t="s">
        <v>153</v>
      </c>
      <c r="D9" s="7" t="s">
        <v>154</v>
      </c>
      <c r="E9" s="7" t="s">
        <v>155</v>
      </c>
      <c r="F9" s="7" t="s">
        <v>156</v>
      </c>
      <c r="G9" s="7" t="s">
        <v>157</v>
      </c>
      <c r="H9" s="7" t="s">
        <v>158</v>
      </c>
      <c r="I9" s="7" t="s">
        <v>159</v>
      </c>
    </row>
    <row r="10" spans="1:9" ht="14.25" customHeight="1" x14ac:dyDescent="0.3">
      <c r="A10" s="70" t="s">
        <v>160</v>
      </c>
      <c r="B10" s="48"/>
      <c r="C10" s="48"/>
      <c r="D10" s="48"/>
      <c r="E10" s="48"/>
      <c r="F10" s="48"/>
      <c r="G10" s="48"/>
      <c r="H10" s="45"/>
      <c r="I10" s="8">
        <v>8</v>
      </c>
    </row>
    <row r="11" spans="1:9" ht="28.5" customHeight="1" x14ac:dyDescent="0.3">
      <c r="A11" s="9" t="s">
        <v>161</v>
      </c>
      <c r="B11" s="10" t="s">
        <v>162</v>
      </c>
      <c r="C11" s="11" t="s">
        <v>163</v>
      </c>
      <c r="D11" s="11" t="s">
        <v>164</v>
      </c>
      <c r="E11" s="12" t="s">
        <v>165</v>
      </c>
      <c r="F11" s="12">
        <v>2</v>
      </c>
      <c r="G11" s="13" t="s">
        <v>166</v>
      </c>
      <c r="H11" s="14">
        <f>IF(G11="N/A",0,F11*IF(G11="Full",1,IF(G11="Partial",0.5,0)))</f>
        <v>2</v>
      </c>
      <c r="I11" s="15" t="s">
        <v>167</v>
      </c>
    </row>
    <row r="12" spans="1:9" ht="42.75" customHeight="1" x14ac:dyDescent="0.3">
      <c r="A12" s="9" t="s">
        <v>168</v>
      </c>
      <c r="B12" s="10" t="s">
        <v>169</v>
      </c>
      <c r="C12" s="11" t="s">
        <v>170</v>
      </c>
      <c r="D12" s="11" t="s">
        <v>171</v>
      </c>
      <c r="E12" s="12" t="s">
        <v>132</v>
      </c>
      <c r="F12" s="12">
        <v>2</v>
      </c>
      <c r="G12" s="13" t="s">
        <v>172</v>
      </c>
      <c r="H12" s="14">
        <f>IF(G12="N/A",0,F12*IF(G12="Full",1,IF(G12="Partial",0.5,0)))</f>
        <v>1</v>
      </c>
      <c r="I12" s="15" t="s">
        <v>173</v>
      </c>
    </row>
    <row r="13" spans="1:9" ht="42.75" customHeight="1" x14ac:dyDescent="0.3">
      <c r="A13" s="9" t="s">
        <v>174</v>
      </c>
      <c r="B13" s="10" t="s">
        <v>175</v>
      </c>
      <c r="C13" s="11" t="s">
        <v>176</v>
      </c>
      <c r="D13" s="11" t="s">
        <v>177</v>
      </c>
      <c r="E13" s="12" t="s">
        <v>165</v>
      </c>
      <c r="F13" s="12">
        <v>2</v>
      </c>
      <c r="G13" s="13" t="s">
        <v>47</v>
      </c>
      <c r="H13" s="14">
        <f>IF(G13="N/A",0,F13*IF(G13="Full",1,IF(G13="Partial",0.5,0)))</f>
        <v>0</v>
      </c>
      <c r="I13" s="15" t="s">
        <v>178</v>
      </c>
    </row>
    <row r="14" spans="1:9" ht="27.75" customHeight="1" x14ac:dyDescent="0.3">
      <c r="A14" s="9" t="s">
        <v>179</v>
      </c>
      <c r="B14" s="10" t="s">
        <v>180</v>
      </c>
      <c r="C14" s="11" t="s">
        <v>181</v>
      </c>
      <c r="D14" s="11" t="s">
        <v>182</v>
      </c>
      <c r="E14" s="12" t="s">
        <v>132</v>
      </c>
      <c r="F14" s="12">
        <v>2</v>
      </c>
      <c r="G14" s="13" t="s">
        <v>172</v>
      </c>
      <c r="H14" s="14">
        <f>IF(G14="N/A",0,F14*IF(G14="Full",1,IF(G14="Partial",0.5,0)))</f>
        <v>1</v>
      </c>
      <c r="I14" s="15" t="s">
        <v>183</v>
      </c>
    </row>
    <row r="15" spans="1:9" ht="14.25" customHeight="1" x14ac:dyDescent="0.3">
      <c r="A15" s="70" t="s">
        <v>184</v>
      </c>
      <c r="B15" s="48"/>
      <c r="C15" s="48"/>
      <c r="D15" s="48"/>
      <c r="E15" s="48"/>
      <c r="F15" s="48"/>
      <c r="G15" s="48"/>
      <c r="H15" s="45"/>
      <c r="I15" s="8">
        <v>24</v>
      </c>
    </row>
    <row r="16" spans="1:9" ht="42.75" customHeight="1" x14ac:dyDescent="0.3">
      <c r="A16" s="9" t="s">
        <v>185</v>
      </c>
      <c r="B16" s="10" t="s">
        <v>186</v>
      </c>
      <c r="C16" s="11" t="s">
        <v>187</v>
      </c>
      <c r="D16" s="11" t="s">
        <v>188</v>
      </c>
      <c r="E16" s="12" t="s">
        <v>132</v>
      </c>
      <c r="F16" s="12">
        <v>5</v>
      </c>
      <c r="G16" s="13" t="s">
        <v>172</v>
      </c>
      <c r="H16" s="14">
        <f t="shared" ref="H16:H21" si="0">IF(G16="N/A",0,F16*IF(G16="Full",1,IF(G16="Partial",0.5,0)))</f>
        <v>2.5</v>
      </c>
      <c r="I16" s="15" t="s">
        <v>189</v>
      </c>
    </row>
    <row r="17" spans="1:9" ht="28.5" customHeight="1" x14ac:dyDescent="0.3">
      <c r="A17" s="9" t="s">
        <v>190</v>
      </c>
      <c r="B17" s="10" t="s">
        <v>191</v>
      </c>
      <c r="C17" s="11" t="s">
        <v>192</v>
      </c>
      <c r="D17" s="11" t="s">
        <v>193</v>
      </c>
      <c r="E17" s="12" t="s">
        <v>132</v>
      </c>
      <c r="F17" s="12">
        <v>4</v>
      </c>
      <c r="G17" s="13" t="s">
        <v>166</v>
      </c>
      <c r="H17" s="14">
        <f t="shared" si="0"/>
        <v>4</v>
      </c>
      <c r="I17" s="15" t="s">
        <v>194</v>
      </c>
    </row>
    <row r="18" spans="1:9" ht="42.75" customHeight="1" x14ac:dyDescent="0.3">
      <c r="A18" s="9" t="s">
        <v>195</v>
      </c>
      <c r="B18" s="10" t="s">
        <v>196</v>
      </c>
      <c r="C18" s="11" t="s">
        <v>197</v>
      </c>
      <c r="D18" s="11" t="s">
        <v>198</v>
      </c>
      <c r="E18" s="12" t="s">
        <v>165</v>
      </c>
      <c r="F18" s="12">
        <v>4</v>
      </c>
      <c r="G18" s="13" t="s">
        <v>166</v>
      </c>
      <c r="H18" s="14">
        <f t="shared" si="0"/>
        <v>4</v>
      </c>
      <c r="I18" s="15" t="s">
        <v>199</v>
      </c>
    </row>
    <row r="19" spans="1:9" ht="42.75" customHeight="1" x14ac:dyDescent="0.3">
      <c r="A19" s="9" t="s">
        <v>200</v>
      </c>
      <c r="B19" s="10" t="s">
        <v>201</v>
      </c>
      <c r="C19" s="11" t="s">
        <v>202</v>
      </c>
      <c r="D19" s="11" t="s">
        <v>203</v>
      </c>
      <c r="E19" s="12" t="s">
        <v>165</v>
      </c>
      <c r="F19" s="12">
        <v>4</v>
      </c>
      <c r="G19" s="13" t="s">
        <v>172</v>
      </c>
      <c r="H19" s="14">
        <f t="shared" si="0"/>
        <v>2</v>
      </c>
      <c r="I19" s="15" t="s">
        <v>204</v>
      </c>
    </row>
    <row r="20" spans="1:9" ht="28.5" customHeight="1" x14ac:dyDescent="0.3">
      <c r="A20" s="9" t="s">
        <v>205</v>
      </c>
      <c r="B20" s="10" t="s">
        <v>206</v>
      </c>
      <c r="C20" s="11" t="s">
        <v>207</v>
      </c>
      <c r="D20" s="11" t="s">
        <v>208</v>
      </c>
      <c r="E20" s="12" t="s">
        <v>132</v>
      </c>
      <c r="F20" s="12">
        <v>4</v>
      </c>
      <c r="G20" s="13" t="s">
        <v>47</v>
      </c>
      <c r="H20" s="14">
        <f t="shared" si="0"/>
        <v>0</v>
      </c>
      <c r="I20" s="15" t="s">
        <v>209</v>
      </c>
    </row>
    <row r="21" spans="1:9" ht="42.75" customHeight="1" x14ac:dyDescent="0.3">
      <c r="A21" s="9" t="s">
        <v>210</v>
      </c>
      <c r="B21" s="10" t="s">
        <v>211</v>
      </c>
      <c r="C21" s="11" t="s">
        <v>212</v>
      </c>
      <c r="D21" s="11" t="s">
        <v>213</v>
      </c>
      <c r="E21" s="12" t="s">
        <v>132</v>
      </c>
      <c r="F21" s="12">
        <v>3</v>
      </c>
      <c r="G21" s="13" t="s">
        <v>172</v>
      </c>
      <c r="H21" s="14">
        <f t="shared" si="0"/>
        <v>1.5</v>
      </c>
      <c r="I21" s="15" t="s">
        <v>214</v>
      </c>
    </row>
    <row r="22" spans="1:9" ht="14.25" customHeight="1" x14ac:dyDescent="0.3">
      <c r="A22" s="70" t="s">
        <v>215</v>
      </c>
      <c r="B22" s="48"/>
      <c r="C22" s="48"/>
      <c r="D22" s="48"/>
      <c r="E22" s="48"/>
      <c r="F22" s="48"/>
      <c r="G22" s="48"/>
      <c r="H22" s="45"/>
      <c r="I22" s="8">
        <v>10</v>
      </c>
    </row>
    <row r="23" spans="1:9" ht="42.75" customHeight="1" x14ac:dyDescent="0.3">
      <c r="A23" s="9" t="s">
        <v>216</v>
      </c>
      <c r="B23" s="10" t="s">
        <v>217</v>
      </c>
      <c r="C23" s="11" t="s">
        <v>218</v>
      </c>
      <c r="D23" s="11" t="s">
        <v>219</v>
      </c>
      <c r="E23" s="12" t="s">
        <v>165</v>
      </c>
      <c r="F23" s="12">
        <v>4</v>
      </c>
      <c r="G23" s="13" t="s">
        <v>172</v>
      </c>
      <c r="H23" s="14">
        <f>IF(G23="N/A",0,F23*IF(G23="Full",1,IF(G23="Partial",0.5,0)))</f>
        <v>2</v>
      </c>
      <c r="I23" s="15" t="s">
        <v>220</v>
      </c>
    </row>
    <row r="24" spans="1:9" ht="42.75" customHeight="1" x14ac:dyDescent="0.3">
      <c r="A24" s="9" t="s">
        <v>221</v>
      </c>
      <c r="B24" s="10" t="s">
        <v>222</v>
      </c>
      <c r="C24" s="11" t="s">
        <v>223</v>
      </c>
      <c r="D24" s="11" t="s">
        <v>224</v>
      </c>
      <c r="E24" s="12" t="s">
        <v>165</v>
      </c>
      <c r="F24" s="12">
        <v>3</v>
      </c>
      <c r="G24" s="13" t="s">
        <v>47</v>
      </c>
      <c r="H24" s="14">
        <f>IF(G24="N/A",0,F24*IF(G24="Full",1,IF(G24="Partial",0.5,0)))</f>
        <v>0</v>
      </c>
      <c r="I24" s="15" t="s">
        <v>225</v>
      </c>
    </row>
    <row r="25" spans="1:9" ht="28.5" customHeight="1" x14ac:dyDescent="0.3">
      <c r="A25" s="9" t="s">
        <v>226</v>
      </c>
      <c r="B25" s="10" t="s">
        <v>227</v>
      </c>
      <c r="C25" s="11" t="s">
        <v>228</v>
      </c>
      <c r="D25" s="11" t="s">
        <v>229</v>
      </c>
      <c r="E25" s="12" t="s">
        <v>165</v>
      </c>
      <c r="F25" s="12">
        <v>3</v>
      </c>
      <c r="G25" s="13" t="s">
        <v>47</v>
      </c>
      <c r="H25" s="14">
        <f>IF(G25="N/A",0,F25*IF(G25="Full",1,IF(G25="Partial",0.5,0)))</f>
        <v>0</v>
      </c>
      <c r="I25" s="15" t="s">
        <v>230</v>
      </c>
    </row>
    <row r="26" spans="1:9" ht="14.25" customHeight="1" x14ac:dyDescent="0.3">
      <c r="A26" s="70" t="s">
        <v>231</v>
      </c>
      <c r="B26" s="48"/>
      <c r="C26" s="48"/>
      <c r="D26" s="48"/>
      <c r="E26" s="48"/>
      <c r="F26" s="48"/>
      <c r="G26" s="48"/>
      <c r="H26" s="45"/>
      <c r="I26" s="8">
        <v>12</v>
      </c>
    </row>
    <row r="27" spans="1:9" ht="42.75" customHeight="1" x14ac:dyDescent="0.3">
      <c r="A27" s="9" t="s">
        <v>232</v>
      </c>
      <c r="B27" s="10" t="s">
        <v>233</v>
      </c>
      <c r="C27" s="11" t="s">
        <v>234</v>
      </c>
      <c r="D27" s="11" t="s">
        <v>235</v>
      </c>
      <c r="E27" s="12" t="s">
        <v>132</v>
      </c>
      <c r="F27" s="12">
        <v>4</v>
      </c>
      <c r="G27" s="13" t="s">
        <v>172</v>
      </c>
      <c r="H27" s="14">
        <f>IF(G27="N/A",0,F27*IF(G27="Full",1,IF(G27="Partial",0.5,0)))</f>
        <v>2</v>
      </c>
      <c r="I27" s="15" t="s">
        <v>236</v>
      </c>
    </row>
    <row r="28" spans="1:9" ht="28.5" customHeight="1" x14ac:dyDescent="0.3">
      <c r="A28" s="9" t="s">
        <v>237</v>
      </c>
      <c r="B28" s="10" t="s">
        <v>238</v>
      </c>
      <c r="C28" s="11" t="s">
        <v>239</v>
      </c>
      <c r="D28" s="11" t="s">
        <v>240</v>
      </c>
      <c r="E28" s="12" t="s">
        <v>165</v>
      </c>
      <c r="F28" s="12">
        <v>3</v>
      </c>
      <c r="G28" s="13" t="s">
        <v>172</v>
      </c>
      <c r="H28" s="14">
        <f>IF(G28="N/A",0,F28*IF(G28="Full",1,IF(G28="Partial",0.5,0)))</f>
        <v>1.5</v>
      </c>
      <c r="I28" s="15" t="s">
        <v>241</v>
      </c>
    </row>
    <row r="29" spans="1:9" ht="42.75" customHeight="1" x14ac:dyDescent="0.3">
      <c r="A29" s="9" t="s">
        <v>242</v>
      </c>
      <c r="B29" s="10" t="s">
        <v>243</v>
      </c>
      <c r="C29" s="11" t="s">
        <v>244</v>
      </c>
      <c r="D29" s="11" t="s">
        <v>245</v>
      </c>
      <c r="E29" s="12" t="s">
        <v>165</v>
      </c>
      <c r="F29" s="12">
        <v>3</v>
      </c>
      <c r="G29" s="13" t="s">
        <v>172</v>
      </c>
      <c r="H29" s="14">
        <f>IF(G29="N/A",0,F29*IF(G29="Full",1,IF(G29="Partial",0.5,0)))</f>
        <v>1.5</v>
      </c>
      <c r="I29" s="15" t="s">
        <v>246</v>
      </c>
    </row>
    <row r="30" spans="1:9" ht="42.75" customHeight="1" x14ac:dyDescent="0.3">
      <c r="A30" s="9" t="s">
        <v>247</v>
      </c>
      <c r="B30" s="10" t="s">
        <v>248</v>
      </c>
      <c r="C30" s="11" t="s">
        <v>249</v>
      </c>
      <c r="D30" s="11" t="s">
        <v>250</v>
      </c>
      <c r="E30" s="12" t="s">
        <v>165</v>
      </c>
      <c r="F30" s="12">
        <v>2</v>
      </c>
      <c r="G30" s="13" t="s">
        <v>166</v>
      </c>
      <c r="H30" s="14">
        <f>IF(G30="N/A",0,F30*IF(G30="Full",1,IF(G30="Partial",0.5,0)))</f>
        <v>2</v>
      </c>
      <c r="I30" s="15" t="s">
        <v>251</v>
      </c>
    </row>
    <row r="31" spans="1:9" ht="14.25" customHeight="1" x14ac:dyDescent="0.3">
      <c r="A31" s="70" t="s">
        <v>252</v>
      </c>
      <c r="B31" s="48"/>
      <c r="C31" s="48"/>
      <c r="D31" s="48"/>
      <c r="E31" s="48"/>
      <c r="F31" s="48"/>
      <c r="G31" s="48"/>
      <c r="H31" s="45"/>
      <c r="I31" s="8">
        <v>16</v>
      </c>
    </row>
    <row r="32" spans="1:9" ht="28.5" customHeight="1" x14ac:dyDescent="0.3">
      <c r="A32" s="9" t="s">
        <v>253</v>
      </c>
      <c r="B32" s="10" t="s">
        <v>254</v>
      </c>
      <c r="C32" s="11" t="s">
        <v>255</v>
      </c>
      <c r="D32" s="11" t="s">
        <v>256</v>
      </c>
      <c r="E32" s="12" t="s">
        <v>165</v>
      </c>
      <c r="F32" s="12">
        <v>4</v>
      </c>
      <c r="G32" s="13" t="s">
        <v>172</v>
      </c>
      <c r="H32" s="14">
        <f>IF(G32="N/A",0,F32*IF(G32="Full",1,IF(G32="Partial",0.5,0)))</f>
        <v>2</v>
      </c>
      <c r="I32" s="15" t="s">
        <v>257</v>
      </c>
    </row>
    <row r="33" spans="1:9" ht="42.75" customHeight="1" x14ac:dyDescent="0.3">
      <c r="A33" s="9" t="s">
        <v>258</v>
      </c>
      <c r="B33" s="10" t="s">
        <v>259</v>
      </c>
      <c r="C33" s="11" t="s">
        <v>260</v>
      </c>
      <c r="D33" s="11" t="s">
        <v>261</v>
      </c>
      <c r="E33" s="12" t="s">
        <v>132</v>
      </c>
      <c r="F33" s="12">
        <v>5</v>
      </c>
      <c r="G33" s="13" t="s">
        <v>172</v>
      </c>
      <c r="H33" s="14">
        <f>IF(G33="N/A",0,F33*IF(G33="Full",1,IF(G33="Partial",0.5,0)))</f>
        <v>2.5</v>
      </c>
      <c r="I33" s="15" t="s">
        <v>262</v>
      </c>
    </row>
    <row r="34" spans="1:9" ht="28.5" customHeight="1" x14ac:dyDescent="0.3">
      <c r="A34" s="9" t="s">
        <v>263</v>
      </c>
      <c r="B34" s="10" t="s">
        <v>264</v>
      </c>
      <c r="C34" s="11" t="s">
        <v>265</v>
      </c>
      <c r="D34" s="11" t="s">
        <v>208</v>
      </c>
      <c r="E34" s="12" t="s">
        <v>132</v>
      </c>
      <c r="F34" s="12">
        <v>4</v>
      </c>
      <c r="G34" s="13" t="s">
        <v>47</v>
      </c>
      <c r="H34" s="14">
        <f>IF(G34="N/A",0,F34*IF(G34="Full",1,IF(G34="Partial",0.5,0)))</f>
        <v>0</v>
      </c>
      <c r="I34" s="15" t="s">
        <v>266</v>
      </c>
    </row>
    <row r="35" spans="1:9" ht="42.75" customHeight="1" x14ac:dyDescent="0.3">
      <c r="A35" s="9" t="s">
        <v>267</v>
      </c>
      <c r="B35" s="10" t="s">
        <v>268</v>
      </c>
      <c r="C35" s="11" t="s">
        <v>269</v>
      </c>
      <c r="D35" s="11" t="s">
        <v>270</v>
      </c>
      <c r="E35" s="12" t="s">
        <v>165</v>
      </c>
      <c r="F35" s="12">
        <v>3</v>
      </c>
      <c r="G35" s="13" t="s">
        <v>47</v>
      </c>
      <c r="H35" s="14">
        <f>IF(G35="N/A",0,F35*IF(G35="Full",1,IF(G35="Partial",0.5,0)))</f>
        <v>0</v>
      </c>
      <c r="I35" s="15" t="s">
        <v>271</v>
      </c>
    </row>
    <row r="36" spans="1:9" ht="14.25" customHeight="1" x14ac:dyDescent="0.3">
      <c r="A36" s="70" t="s">
        <v>272</v>
      </c>
      <c r="B36" s="48"/>
      <c r="C36" s="48"/>
      <c r="D36" s="48"/>
      <c r="E36" s="48"/>
      <c r="F36" s="48"/>
      <c r="G36" s="48"/>
      <c r="H36" s="45"/>
      <c r="I36" s="8">
        <v>14</v>
      </c>
    </row>
    <row r="37" spans="1:9" ht="42.75" customHeight="1" x14ac:dyDescent="0.3">
      <c r="A37" s="9" t="s">
        <v>273</v>
      </c>
      <c r="B37" s="10" t="s">
        <v>274</v>
      </c>
      <c r="C37" s="11" t="s">
        <v>275</v>
      </c>
      <c r="D37" s="11" t="s">
        <v>276</v>
      </c>
      <c r="E37" s="12" t="s">
        <v>165</v>
      </c>
      <c r="F37" s="12">
        <v>4</v>
      </c>
      <c r="G37" s="13" t="s">
        <v>172</v>
      </c>
      <c r="H37" s="14">
        <f>IF(G37="N/A",0,F37*IF(G37="Full",1,IF(G37="Partial",0.5,0)))</f>
        <v>2</v>
      </c>
      <c r="I37" s="15" t="s">
        <v>277</v>
      </c>
    </row>
    <row r="38" spans="1:9" ht="42.75" customHeight="1" x14ac:dyDescent="0.3">
      <c r="A38" s="9" t="s">
        <v>278</v>
      </c>
      <c r="B38" s="10" t="s">
        <v>279</v>
      </c>
      <c r="C38" s="11" t="s">
        <v>280</v>
      </c>
      <c r="D38" s="11" t="s">
        <v>281</v>
      </c>
      <c r="E38" s="12" t="s">
        <v>132</v>
      </c>
      <c r="F38" s="12">
        <v>4</v>
      </c>
      <c r="G38" s="13" t="s">
        <v>172</v>
      </c>
      <c r="H38" s="14">
        <f>IF(G38="N/A",0,F38*IF(G38="Full",1,IF(G38="Partial",0.5,0)))</f>
        <v>2</v>
      </c>
      <c r="I38" s="15" t="s">
        <v>282</v>
      </c>
    </row>
    <row r="39" spans="1:9" ht="28.5" customHeight="1" x14ac:dyDescent="0.3">
      <c r="A39" s="9" t="s">
        <v>283</v>
      </c>
      <c r="B39" s="10" t="s">
        <v>284</v>
      </c>
      <c r="C39" s="11" t="s">
        <v>285</v>
      </c>
      <c r="D39" s="11" t="s">
        <v>276</v>
      </c>
      <c r="E39" s="12" t="s">
        <v>165</v>
      </c>
      <c r="F39" s="12">
        <v>3</v>
      </c>
      <c r="G39" s="13" t="s">
        <v>47</v>
      </c>
      <c r="H39" s="14">
        <f>IF(G39="N/A",0,F39*IF(G39="Full",1,IF(G39="Partial",0.5,0)))</f>
        <v>0</v>
      </c>
      <c r="I39" s="15" t="s">
        <v>286</v>
      </c>
    </row>
    <row r="40" spans="1:9" ht="42.75" customHeight="1" x14ac:dyDescent="0.3">
      <c r="A40" s="9" t="s">
        <v>287</v>
      </c>
      <c r="B40" s="10" t="s">
        <v>288</v>
      </c>
      <c r="C40" s="11" t="s">
        <v>289</v>
      </c>
      <c r="D40" s="11" t="s">
        <v>290</v>
      </c>
      <c r="E40" s="12" t="s">
        <v>165</v>
      </c>
      <c r="F40" s="12">
        <v>3</v>
      </c>
      <c r="G40" s="13" t="s">
        <v>47</v>
      </c>
      <c r="H40" s="14">
        <f>IF(G40="N/A",0,F40*IF(G40="Full",1,IF(G40="Partial",0.5,0)))</f>
        <v>0</v>
      </c>
      <c r="I40" s="15" t="s">
        <v>291</v>
      </c>
    </row>
    <row r="41" spans="1:9" ht="14.25" customHeight="1" x14ac:dyDescent="0.3">
      <c r="A41" s="70" t="s">
        <v>292</v>
      </c>
      <c r="B41" s="48"/>
      <c r="C41" s="48"/>
      <c r="D41" s="48"/>
      <c r="E41" s="48"/>
      <c r="F41" s="48"/>
      <c r="G41" s="48"/>
      <c r="H41" s="45"/>
      <c r="I41" s="8">
        <v>10</v>
      </c>
    </row>
    <row r="42" spans="1:9" ht="28.5" customHeight="1" x14ac:dyDescent="0.3">
      <c r="A42" s="9" t="s">
        <v>293</v>
      </c>
      <c r="B42" s="10" t="s">
        <v>294</v>
      </c>
      <c r="C42" s="11" t="s">
        <v>295</v>
      </c>
      <c r="D42" s="11" t="s">
        <v>296</v>
      </c>
      <c r="E42" s="12" t="s">
        <v>165</v>
      </c>
      <c r="F42" s="12">
        <v>3</v>
      </c>
      <c r="G42" s="13" t="s">
        <v>172</v>
      </c>
      <c r="H42" s="14">
        <f>IF(G42="N/A",0,F42*IF(G42="Full",1,IF(G42="Partial",0.5,0)))</f>
        <v>1.5</v>
      </c>
      <c r="I42" s="15" t="s">
        <v>297</v>
      </c>
    </row>
    <row r="43" spans="1:9" ht="42.75" customHeight="1" x14ac:dyDescent="0.3">
      <c r="A43" s="9" t="s">
        <v>298</v>
      </c>
      <c r="B43" s="10" t="s">
        <v>299</v>
      </c>
      <c r="C43" s="11" t="s">
        <v>300</v>
      </c>
      <c r="D43" s="11" t="s">
        <v>301</v>
      </c>
      <c r="E43" s="12" t="s">
        <v>165</v>
      </c>
      <c r="F43" s="12">
        <v>4</v>
      </c>
      <c r="G43" s="13" t="s">
        <v>172</v>
      </c>
      <c r="H43" s="14">
        <f>IF(G43="N/A",0,F43*IF(G43="Full",1,IF(G43="Partial",0.5,0)))</f>
        <v>2</v>
      </c>
      <c r="I43" s="15" t="s">
        <v>302</v>
      </c>
    </row>
    <row r="44" spans="1:9" ht="42.75" customHeight="1" x14ac:dyDescent="0.3">
      <c r="A44" s="9" t="s">
        <v>303</v>
      </c>
      <c r="B44" s="10" t="s">
        <v>304</v>
      </c>
      <c r="C44" s="11" t="s">
        <v>305</v>
      </c>
      <c r="D44" s="11" t="s">
        <v>306</v>
      </c>
      <c r="E44" s="12" t="s">
        <v>165</v>
      </c>
      <c r="F44" s="12">
        <v>3</v>
      </c>
      <c r="G44" s="13" t="s">
        <v>47</v>
      </c>
      <c r="H44" s="14">
        <f>IF(G44="N/A",0,F44*IF(G44="Full",1,IF(G44="Partial",0.5,0)))</f>
        <v>0</v>
      </c>
      <c r="I44" s="15" t="s">
        <v>307</v>
      </c>
    </row>
    <row r="45" spans="1:9" ht="14.25" customHeight="1" x14ac:dyDescent="0.3">
      <c r="A45" s="70" t="s">
        <v>308</v>
      </c>
      <c r="B45" s="48"/>
      <c r="C45" s="48"/>
      <c r="D45" s="48"/>
      <c r="E45" s="48"/>
      <c r="F45" s="48"/>
      <c r="G45" s="48"/>
      <c r="H45" s="45"/>
      <c r="I45" s="8">
        <v>6</v>
      </c>
    </row>
    <row r="46" spans="1:9" ht="28.5" customHeight="1" x14ac:dyDescent="0.3">
      <c r="A46" s="9" t="s">
        <v>309</v>
      </c>
      <c r="B46" s="10" t="s">
        <v>310</v>
      </c>
      <c r="C46" s="11" t="s">
        <v>311</v>
      </c>
      <c r="D46" s="11" t="s">
        <v>312</v>
      </c>
      <c r="E46" s="12" t="s">
        <v>165</v>
      </c>
      <c r="F46" s="12">
        <v>2</v>
      </c>
      <c r="G46" s="13" t="s">
        <v>166</v>
      </c>
      <c r="H46" s="14">
        <f>IF(G46="N/A",0,F46*IF(G46="Full",1,IF(G46="Partial",0.5,0)))</f>
        <v>2</v>
      </c>
      <c r="I46" s="15" t="s">
        <v>313</v>
      </c>
    </row>
    <row r="47" spans="1:9" ht="27.75" customHeight="1" x14ac:dyDescent="0.3">
      <c r="A47" s="9" t="s">
        <v>314</v>
      </c>
      <c r="B47" s="10" t="s">
        <v>315</v>
      </c>
      <c r="C47" s="11" t="s">
        <v>316</v>
      </c>
      <c r="D47" s="11" t="s">
        <v>182</v>
      </c>
      <c r="E47" s="12" t="s">
        <v>132</v>
      </c>
      <c r="F47" s="12">
        <v>2</v>
      </c>
      <c r="G47" s="13" t="s">
        <v>47</v>
      </c>
      <c r="H47" s="14">
        <f>IF(G47="N/A",0,F47*IF(G47="Full",1,IF(G47="Partial",0.5,0)))</f>
        <v>0</v>
      </c>
      <c r="I47" s="15" t="s">
        <v>317</v>
      </c>
    </row>
    <row r="48" spans="1:9" ht="28.5" customHeight="1" x14ac:dyDescent="0.3">
      <c r="A48" s="9" t="s">
        <v>318</v>
      </c>
      <c r="B48" s="10" t="s">
        <v>319</v>
      </c>
      <c r="C48" s="11" t="s">
        <v>320</v>
      </c>
      <c r="D48" s="11" t="s">
        <v>321</v>
      </c>
      <c r="E48" s="12" t="s">
        <v>165</v>
      </c>
      <c r="F48" s="12">
        <v>2</v>
      </c>
      <c r="G48" s="13" t="s">
        <v>166</v>
      </c>
      <c r="H48" s="14">
        <f>IF(G48="N/A",0,F48*IF(G48="Full",1,IF(G48="Partial",0.5,0)))</f>
        <v>2</v>
      </c>
      <c r="I48" s="15" t="s">
        <v>322</v>
      </c>
    </row>
    <row r="49" spans="1:9" ht="14.25" customHeight="1" x14ac:dyDescent="0.3">
      <c r="A49" s="6"/>
      <c r="B49" s="6"/>
      <c r="C49" s="6"/>
      <c r="D49" s="6"/>
      <c r="E49" s="6"/>
      <c r="F49" s="6"/>
      <c r="G49" s="6"/>
      <c r="H49" s="6"/>
      <c r="I49" s="6"/>
    </row>
    <row r="50" spans="1:9" ht="14.25" customHeight="1" x14ac:dyDescent="0.3">
      <c r="A50" s="6"/>
      <c r="B50" s="16" t="s">
        <v>323</v>
      </c>
      <c r="C50" s="17"/>
      <c r="D50" s="17"/>
      <c r="E50" s="17"/>
      <c r="F50" s="17"/>
      <c r="G50" s="6"/>
      <c r="H50" s="6"/>
      <c r="I50" s="6"/>
    </row>
    <row r="51" spans="1:9" ht="14.25" customHeight="1" x14ac:dyDescent="0.3">
      <c r="A51" s="6"/>
      <c r="B51" s="18" t="s">
        <v>324</v>
      </c>
      <c r="C51" s="18" t="s">
        <v>156</v>
      </c>
      <c r="D51" s="18" t="s">
        <v>325</v>
      </c>
      <c r="E51" s="18" t="s">
        <v>326</v>
      </c>
      <c r="F51" s="18" t="s">
        <v>327</v>
      </c>
      <c r="G51" s="6"/>
      <c r="H51" s="6"/>
      <c r="I51" s="6"/>
    </row>
    <row r="52" spans="1:9" ht="14.25" customHeight="1" x14ac:dyDescent="0.3">
      <c r="A52" s="6"/>
      <c r="B52" s="19" t="s">
        <v>328</v>
      </c>
      <c r="C52" s="20">
        <v>8</v>
      </c>
      <c r="D52" s="20">
        <f>SUMPRODUCT((G11:G14&lt;&gt;"N/A")*F11:F14)</f>
        <v>8</v>
      </c>
      <c r="E52" s="20">
        <f>SUM(H11:H14)</f>
        <v>4</v>
      </c>
      <c r="F52" s="20">
        <f t="shared" ref="F52:F59" si="1">IF(D52=0,"N/A",ROUND(E52/D52*100,0))</f>
        <v>50</v>
      </c>
      <c r="G52" s="6"/>
      <c r="H52" s="6"/>
      <c r="I52" s="6"/>
    </row>
    <row r="53" spans="1:9" ht="14.25" customHeight="1" x14ac:dyDescent="0.3">
      <c r="A53" s="6"/>
      <c r="B53" s="19" t="s">
        <v>329</v>
      </c>
      <c r="C53" s="20">
        <v>24</v>
      </c>
      <c r="D53" s="20">
        <f>SUMPRODUCT((G16:G21&lt;&gt;"N/A")*F16:F21)</f>
        <v>24</v>
      </c>
      <c r="E53" s="20">
        <f>SUM(H16:H21)</f>
        <v>14</v>
      </c>
      <c r="F53" s="20">
        <f t="shared" si="1"/>
        <v>58</v>
      </c>
      <c r="G53" s="6"/>
      <c r="H53" s="6"/>
      <c r="I53" s="6"/>
    </row>
    <row r="54" spans="1:9" ht="14.25" customHeight="1" x14ac:dyDescent="0.3">
      <c r="A54" s="6"/>
      <c r="B54" s="19" t="s">
        <v>330</v>
      </c>
      <c r="C54" s="20">
        <v>10</v>
      </c>
      <c r="D54" s="20">
        <f>SUMPRODUCT((G23:G25&lt;&gt;"N/A")*F23:F25)</f>
        <v>10</v>
      </c>
      <c r="E54" s="20">
        <f>SUM(H23:H25)</f>
        <v>2</v>
      </c>
      <c r="F54" s="20">
        <f t="shared" si="1"/>
        <v>20</v>
      </c>
      <c r="G54" s="6"/>
      <c r="H54" s="6"/>
      <c r="I54" s="6"/>
    </row>
    <row r="55" spans="1:9" ht="14.25" customHeight="1" x14ac:dyDescent="0.3">
      <c r="A55" s="6"/>
      <c r="B55" s="19" t="s">
        <v>331</v>
      </c>
      <c r="C55" s="20">
        <v>12</v>
      </c>
      <c r="D55" s="20">
        <f>SUMPRODUCT((G27:G30&lt;&gt;"N/A")*F27:F30)</f>
        <v>12</v>
      </c>
      <c r="E55" s="20">
        <f>SUM(H27:H30)</f>
        <v>7</v>
      </c>
      <c r="F55" s="20">
        <f t="shared" si="1"/>
        <v>58</v>
      </c>
      <c r="G55" s="6"/>
      <c r="H55" s="6"/>
      <c r="I55" s="6"/>
    </row>
    <row r="56" spans="1:9" ht="14.25" customHeight="1" x14ac:dyDescent="0.3">
      <c r="A56" s="6"/>
      <c r="B56" s="19" t="s">
        <v>332</v>
      </c>
      <c r="C56" s="20">
        <v>16</v>
      </c>
      <c r="D56" s="20">
        <f>SUMPRODUCT((G32:G35&lt;&gt;"N/A")*F32:F35)</f>
        <v>16</v>
      </c>
      <c r="E56" s="20">
        <f>SUM(H32:H35)</f>
        <v>4.5</v>
      </c>
      <c r="F56" s="20">
        <f t="shared" si="1"/>
        <v>28</v>
      </c>
      <c r="G56" s="6"/>
      <c r="H56" s="6"/>
      <c r="I56" s="6"/>
    </row>
    <row r="57" spans="1:9" ht="14.25" customHeight="1" x14ac:dyDescent="0.3">
      <c r="A57" s="6"/>
      <c r="B57" s="19" t="s">
        <v>333</v>
      </c>
      <c r="C57" s="20">
        <v>14</v>
      </c>
      <c r="D57" s="20">
        <f>SUMPRODUCT((G37:G40&lt;&gt;"N/A")*F37:F40)</f>
        <v>14</v>
      </c>
      <c r="E57" s="20">
        <f>SUM(H37:H40)</f>
        <v>4</v>
      </c>
      <c r="F57" s="20">
        <f t="shared" si="1"/>
        <v>29</v>
      </c>
      <c r="G57" s="6"/>
      <c r="H57" s="6"/>
      <c r="I57" s="6"/>
    </row>
    <row r="58" spans="1:9" ht="14.25" customHeight="1" x14ac:dyDescent="0.3">
      <c r="A58" s="6"/>
      <c r="B58" s="19" t="s">
        <v>334</v>
      </c>
      <c r="C58" s="20">
        <v>10</v>
      </c>
      <c r="D58" s="20">
        <f>SUMPRODUCT((G42:G44&lt;&gt;"N/A")*F42:F44)</f>
        <v>10</v>
      </c>
      <c r="E58" s="20">
        <f>SUM(H42:H44)</f>
        <v>3.5</v>
      </c>
      <c r="F58" s="20">
        <f t="shared" si="1"/>
        <v>35</v>
      </c>
      <c r="G58" s="6"/>
      <c r="H58" s="6"/>
      <c r="I58" s="6"/>
    </row>
    <row r="59" spans="1:9" ht="14.25" customHeight="1" x14ac:dyDescent="0.3">
      <c r="A59" s="6"/>
      <c r="B59" s="19" t="s">
        <v>335</v>
      </c>
      <c r="C59" s="20">
        <v>6</v>
      </c>
      <c r="D59" s="20">
        <f>SUMPRODUCT((G46:G48&lt;&gt;"N/A")*F46:F48)</f>
        <v>6</v>
      </c>
      <c r="E59" s="20">
        <f>SUM(H46:H48)</f>
        <v>4</v>
      </c>
      <c r="F59" s="20">
        <f t="shared" si="1"/>
        <v>67</v>
      </c>
      <c r="G59" s="6"/>
      <c r="H59" s="6"/>
      <c r="I59" s="6"/>
    </row>
    <row r="60" spans="1:9" ht="14.25" customHeight="1" x14ac:dyDescent="0.3">
      <c r="A60" s="6"/>
      <c r="B60" s="6"/>
      <c r="C60" s="6"/>
      <c r="D60" s="6"/>
      <c r="E60" s="6"/>
      <c r="F60" s="6"/>
      <c r="G60" s="6"/>
      <c r="H60" s="6"/>
      <c r="I60" s="6"/>
    </row>
    <row r="61" spans="1:9" ht="14.25" customHeight="1" x14ac:dyDescent="0.3">
      <c r="A61" s="6"/>
      <c r="B61" s="21" t="s">
        <v>336</v>
      </c>
      <c r="C61" s="6"/>
      <c r="D61" s="6"/>
      <c r="E61" s="6"/>
      <c r="F61" s="6"/>
      <c r="G61" s="6"/>
      <c r="H61" s="6"/>
      <c r="I61" s="6"/>
    </row>
    <row r="62" spans="1:9" ht="14.25" customHeight="1" x14ac:dyDescent="0.3">
      <c r="A62" s="18" t="s">
        <v>337</v>
      </c>
      <c r="B62" s="18" t="s">
        <v>338</v>
      </c>
      <c r="E62" s="18" t="s">
        <v>339</v>
      </c>
      <c r="F62" s="6"/>
      <c r="G62" s="6"/>
      <c r="H62" s="6"/>
      <c r="I62" s="6"/>
    </row>
    <row r="63" spans="1:9" ht="27.75" customHeight="1" x14ac:dyDescent="0.3">
      <c r="A63" s="4" t="s">
        <v>340</v>
      </c>
      <c r="B63" s="71" t="s">
        <v>341</v>
      </c>
      <c r="C63" s="48"/>
      <c r="D63" s="45"/>
      <c r="E63" s="22" t="s">
        <v>342</v>
      </c>
      <c r="F63" s="6"/>
      <c r="G63" s="6"/>
      <c r="H63" s="6"/>
      <c r="I63" s="6"/>
    </row>
    <row r="64" spans="1:9" ht="27.75" customHeight="1" x14ac:dyDescent="0.3">
      <c r="A64" s="4" t="s">
        <v>343</v>
      </c>
      <c r="B64" s="71" t="s">
        <v>344</v>
      </c>
      <c r="C64" s="48"/>
      <c r="D64" s="45"/>
      <c r="E64" s="22" t="s">
        <v>345</v>
      </c>
      <c r="F64" s="6"/>
      <c r="G64" s="6"/>
      <c r="H64" s="6"/>
      <c r="I64" s="6"/>
    </row>
    <row r="65" spans="1:9" ht="27.75" customHeight="1" x14ac:dyDescent="0.3">
      <c r="A65" s="4" t="s">
        <v>346</v>
      </c>
      <c r="B65" s="71" t="s">
        <v>347</v>
      </c>
      <c r="C65" s="48"/>
      <c r="D65" s="45"/>
      <c r="E65" s="22" t="s">
        <v>345</v>
      </c>
      <c r="F65" s="6"/>
      <c r="G65" s="6"/>
      <c r="H65" s="6"/>
      <c r="I65" s="6"/>
    </row>
    <row r="66" spans="1:9" ht="14.25" customHeight="1" x14ac:dyDescent="0.3">
      <c r="A66" s="4" t="s">
        <v>348</v>
      </c>
      <c r="B66" s="71" t="s">
        <v>349</v>
      </c>
      <c r="C66" s="48"/>
      <c r="D66" s="45"/>
      <c r="E66" s="22" t="s">
        <v>342</v>
      </c>
      <c r="F66" s="6"/>
      <c r="G66" s="6"/>
      <c r="H66" s="6"/>
      <c r="I66" s="6"/>
    </row>
    <row r="67" spans="1:9" ht="27.75" customHeight="1" x14ac:dyDescent="0.3">
      <c r="A67" s="4" t="s">
        <v>350</v>
      </c>
      <c r="B67" s="71" t="s">
        <v>351</v>
      </c>
      <c r="C67" s="48"/>
      <c r="D67" s="45"/>
      <c r="E67" s="22" t="s">
        <v>342</v>
      </c>
      <c r="F67" s="6"/>
      <c r="G67" s="6"/>
      <c r="H67" s="6"/>
      <c r="I67" s="6"/>
    </row>
    <row r="68" spans="1:9" ht="14.25" customHeight="1" x14ac:dyDescent="0.3">
      <c r="A68" s="4" t="s">
        <v>352</v>
      </c>
      <c r="B68" s="71" t="s">
        <v>353</v>
      </c>
      <c r="C68" s="48"/>
      <c r="D68" s="45"/>
      <c r="E68" s="22" t="s">
        <v>345</v>
      </c>
      <c r="F68" s="6"/>
      <c r="G68" s="6"/>
      <c r="H68" s="6"/>
      <c r="I68" s="6"/>
    </row>
    <row r="69" spans="1:9" ht="27.75" customHeight="1" x14ac:dyDescent="0.3">
      <c r="A69" s="4" t="s">
        <v>354</v>
      </c>
      <c r="B69" s="71" t="s">
        <v>355</v>
      </c>
      <c r="C69" s="48"/>
      <c r="D69" s="45"/>
      <c r="E69" s="22" t="s">
        <v>345</v>
      </c>
      <c r="F69" s="6"/>
      <c r="G69" s="6"/>
      <c r="H69" s="6"/>
      <c r="I69" s="6"/>
    </row>
    <row r="70" spans="1:9" ht="27.75" customHeight="1" x14ac:dyDescent="0.3">
      <c r="A70" s="4" t="s">
        <v>356</v>
      </c>
      <c r="B70" s="71" t="s">
        <v>357</v>
      </c>
      <c r="C70" s="48"/>
      <c r="D70" s="45"/>
      <c r="E70" s="22" t="s">
        <v>345</v>
      </c>
      <c r="F70" s="6"/>
      <c r="G70" s="6"/>
      <c r="H70" s="6"/>
      <c r="I70" s="6"/>
    </row>
    <row r="71" spans="1:9" ht="14.25" customHeight="1" x14ac:dyDescent="0.3">
      <c r="A71" s="17"/>
      <c r="B71" s="17"/>
      <c r="C71" s="17"/>
      <c r="D71" s="17"/>
      <c r="E71" s="17"/>
      <c r="F71" s="6"/>
      <c r="G71" s="6"/>
      <c r="H71" s="6"/>
      <c r="I71" s="6"/>
    </row>
    <row r="72" spans="1:9" ht="14.25" customHeight="1" x14ac:dyDescent="0.3">
      <c r="A72" s="17"/>
      <c r="B72" s="18" t="s">
        <v>358</v>
      </c>
      <c r="C72" s="17"/>
      <c r="D72" s="17"/>
      <c r="E72" s="23">
        <f>ROUND(SUM(E52:E59)/SUM(D52:D59)*100,1)</f>
        <v>43</v>
      </c>
      <c r="F72" s="6"/>
      <c r="G72" s="6"/>
      <c r="H72" s="6"/>
      <c r="I72" s="6"/>
    </row>
    <row r="73" spans="1:9" ht="14.25" customHeight="1" x14ac:dyDescent="0.3">
      <c r="A73" s="17"/>
      <c r="B73" s="18" t="s">
        <v>359</v>
      </c>
      <c r="C73" s="17"/>
      <c r="D73" s="17"/>
      <c r="E73" s="24" t="str">
        <f>IF(COUNTIF(E63:E70,"FAIL")&gt;0,"FAILED — INVALID",IF(COUNTIF(E63:E70,"PASS")=8,"ALL PASSED","PENDING — fill all gates"))</f>
        <v>FAILED — INVALID</v>
      </c>
      <c r="F73" s="6"/>
      <c r="G73" s="6"/>
      <c r="H73" s="6"/>
      <c r="I73" s="6"/>
    </row>
    <row r="74" spans="1:9" ht="14.25" customHeight="1" x14ac:dyDescent="0.3">
      <c r="A74" s="17"/>
      <c r="B74" s="18" t="s">
        <v>360</v>
      </c>
      <c r="C74" s="17"/>
      <c r="D74" s="17"/>
      <c r="E74" s="24" t="str">
        <f>IF(E72&gt;=90,"A — Excellent",IF(E72&gt;=75,"B — Pass",IF(E72&gt;=60,"C — Conditional","D — Fail")))</f>
        <v>D — Fail</v>
      </c>
      <c r="F74" s="6"/>
      <c r="G74" s="6"/>
      <c r="H74" s="6"/>
      <c r="I74" s="6"/>
    </row>
    <row r="75" spans="1:9" ht="14.25" customHeight="1" x14ac:dyDescent="0.3">
      <c r="A75" s="17"/>
      <c r="B75" s="18" t="s">
        <v>361</v>
      </c>
      <c r="C75" s="17"/>
      <c r="D75" s="17"/>
      <c r="E75" s="24" t="str">
        <f>IF(E73="FAILED — INVALID","INVALID — RE-RECORD NARRATION",IF(E73&lt;&gt;"ALL PASSED","PENDING",IF(E72&gt;=75,"FI ACCEPTED — BM decision stands",IF(E72&gt;=60,"SUPPLEMENTARY CALL before CPA","RE-CONDUCT FI"))))</f>
        <v>INVALID — RE-RECORD NARRATION</v>
      </c>
      <c r="F75" s="6"/>
      <c r="G75" s="6"/>
      <c r="H75" s="6"/>
      <c r="I75" s="6"/>
    </row>
    <row r="76" spans="1:9" ht="14.25" customHeight="1" x14ac:dyDescent="0.3">
      <c r="A76" s="6"/>
      <c r="B76" s="6"/>
      <c r="C76" s="6"/>
      <c r="D76" s="6"/>
      <c r="E76" s="6"/>
      <c r="F76" s="6"/>
      <c r="G76" s="6"/>
      <c r="H76" s="6"/>
      <c r="I76" s="6"/>
    </row>
  </sheetData>
  <mergeCells count="17">
    <mergeCell ref="A10:H10"/>
    <mergeCell ref="A1:I1"/>
    <mergeCell ref="A41:H41"/>
    <mergeCell ref="A36:H36"/>
    <mergeCell ref="B70:D70"/>
    <mergeCell ref="B65:D65"/>
    <mergeCell ref="B68:D68"/>
    <mergeCell ref="A45:H45"/>
    <mergeCell ref="B64:D64"/>
    <mergeCell ref="B69:D69"/>
    <mergeCell ref="A31:H31"/>
    <mergeCell ref="A22:H22"/>
    <mergeCell ref="A26:H26"/>
    <mergeCell ref="B66:D66"/>
    <mergeCell ref="B67:D67"/>
    <mergeCell ref="A15:H15"/>
    <mergeCell ref="B63:D63"/>
  </mergeCells>
  <dataValidations count="2">
    <dataValidation type="list" allowBlank="1" sqref="G11:G14 G16:G21 G23:G25 G27:G30 G32:G35 G37:G40 G42:G44 G46:G48" xr:uid="{00000000-0002-0000-0100-000000000000}">
      <formula1>"Full,Partial,None,N/A"</formula1>
      <formula2>0</formula2>
    </dataValidation>
    <dataValidation type="list" allowBlank="1" sqref="E63:E70" xr:uid="{00000000-0002-0000-0100-000001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showGridLines="0" tabSelected="1" topLeftCell="A51" zoomScaleNormal="100" workbookViewId="0">
      <selection activeCell="A82" sqref="A82:B82"/>
    </sheetView>
  </sheetViews>
  <sheetFormatPr defaultColWidth="8.6640625" defaultRowHeight="14.4" x14ac:dyDescent="0.3"/>
  <cols>
    <col min="1" max="1" width="5" customWidth="1"/>
    <col min="2" max="2" width="35.6640625" customWidth="1"/>
    <col min="3" max="3" width="26" customWidth="1"/>
    <col min="4" max="4" width="20" customWidth="1"/>
    <col min="5" max="6" width="17" customWidth="1"/>
    <col min="7" max="7" width="20" customWidth="1"/>
    <col min="8" max="8" width="42" customWidth="1"/>
  </cols>
  <sheetData>
    <row r="1" spans="1:8" ht="24" customHeight="1" x14ac:dyDescent="0.3">
      <c r="A1" s="69" t="s">
        <v>0</v>
      </c>
      <c r="B1" s="48"/>
      <c r="C1" s="48"/>
      <c r="D1" s="48"/>
      <c r="E1" s="48"/>
      <c r="F1" s="48"/>
      <c r="G1" s="48"/>
      <c r="H1" s="45"/>
    </row>
    <row r="2" spans="1:8" ht="39.75" customHeight="1" x14ac:dyDescent="0.3">
      <c r="A2" s="50" t="s">
        <v>1</v>
      </c>
      <c r="B2" s="48"/>
      <c r="C2" s="48"/>
      <c r="D2" s="48"/>
      <c r="E2" s="48"/>
      <c r="F2" s="48"/>
      <c r="G2" s="48"/>
      <c r="H2" s="45"/>
    </row>
    <row r="3" spans="1:8" x14ac:dyDescent="0.3">
      <c r="A3" s="35"/>
      <c r="B3" s="35"/>
      <c r="C3" s="35"/>
      <c r="D3" s="35"/>
      <c r="E3" s="35"/>
      <c r="F3" s="35"/>
      <c r="G3" s="35"/>
      <c r="H3" s="35"/>
    </row>
    <row r="4" spans="1:8" ht="15" customHeight="1" x14ac:dyDescent="0.3">
      <c r="A4" s="51" t="s">
        <v>2</v>
      </c>
      <c r="B4" s="45"/>
      <c r="C4" s="44" t="str">
        <f>IF(Scorecard!B2="","",Scorecard!B2)</f>
        <v>Stated on record (0:00–0:15) but the ID digits are not intelligible on ASR — take from PRAGATI</v>
      </c>
      <c r="D4" s="45"/>
      <c r="E4" s="49" t="s">
        <v>3</v>
      </c>
      <c r="F4" s="45"/>
      <c r="G4" s="55">
        <f>IF(Scorecard!E72="","",Scorecard!E72)</f>
        <v>43</v>
      </c>
      <c r="H4" s="45"/>
    </row>
    <row r="5" spans="1:8" ht="15" customHeight="1" x14ac:dyDescent="0.3">
      <c r="A5" s="51" t="s">
        <v>4</v>
      </c>
      <c r="B5" s="45"/>
      <c r="C5" s="44" t="str">
        <f>IF(Scorecard!B3="","",Scorecard!B3)</f>
        <v>Ramkishan Dhakad, village Kichlay (as stated at 0:00–0:28; spelling per audio)</v>
      </c>
      <c r="D5" s="45"/>
      <c r="E5" s="49" t="s">
        <v>5</v>
      </c>
      <c r="F5" s="45"/>
      <c r="G5" s="55" t="str">
        <f>IF(Scorecard!E74="","",Scorecard!E74)</f>
        <v>D — Fail</v>
      </c>
      <c r="H5" s="45"/>
    </row>
    <row r="6" spans="1:8" ht="15" customHeight="1" x14ac:dyDescent="0.3">
      <c r="A6" s="51" t="s">
        <v>6</v>
      </c>
      <c r="B6" s="45"/>
      <c r="C6" s="44" t="str">
        <f>IF(Scorecard!B4="","",Scorecard!B4)</f>
        <v>Sharad Verma, Branch Credit Manager (self-intro 0:00–0:10)</v>
      </c>
      <c r="D6" s="45"/>
      <c r="E6" s="49" t="s">
        <v>7</v>
      </c>
      <c r="F6" s="45"/>
      <c r="G6" s="55" t="str">
        <f>IF(Scorecard!E73="","",Scorecard!E73)</f>
        <v>FAILED — INVALID</v>
      </c>
      <c r="H6" s="45"/>
    </row>
    <row r="7" spans="1:8" ht="15" customHeight="1" x14ac:dyDescent="0.3">
      <c r="A7" s="51" t="s">
        <v>8</v>
      </c>
      <c r="B7" s="45"/>
      <c r="C7" s="44" t="str">
        <f>IF(Scorecard!B5="","",Scorecard!B5)</f>
        <v>19-Aug-2026, ~4:00 pm (stated on record; matches file creation 19-Aug 16:15 IST)</v>
      </c>
      <c r="D7" s="45"/>
      <c r="E7" s="49" t="s">
        <v>9</v>
      </c>
      <c r="F7" s="45"/>
      <c r="G7" s="55" t="str">
        <f>IF(Scorecard!E75="","",Scorecard!E75)</f>
        <v>INVALID — RE-RECORD NARRATION</v>
      </c>
      <c r="H7" s="45"/>
    </row>
    <row r="8" spans="1:8" ht="15" customHeight="1" x14ac:dyDescent="0.3">
      <c r="A8" s="51" t="s">
        <v>10</v>
      </c>
      <c r="B8" s="45"/>
      <c r="C8" s="44">
        <f>IF(Scorecard!B7="","",Scorecard!B7)</f>
        <v>1200000</v>
      </c>
      <c r="D8" s="45"/>
      <c r="E8" s="49" t="s">
        <v>11</v>
      </c>
      <c r="F8" s="45"/>
      <c r="G8" s="55">
        <f>IF(Scorecard!B6="","",Scorecard!B6)</f>
        <v>12</v>
      </c>
      <c r="H8" s="45"/>
    </row>
    <row r="9" spans="1:8" ht="13.5" customHeight="1" x14ac:dyDescent="0.3">
      <c r="A9" s="53" t="s">
        <v>12</v>
      </c>
      <c r="B9" s="48"/>
      <c r="C9" s="48"/>
      <c r="D9" s="48"/>
      <c r="E9" s="48"/>
      <c r="F9" s="48"/>
      <c r="G9" s="48"/>
      <c r="H9" s="45"/>
    </row>
    <row r="10" spans="1:8" x14ac:dyDescent="0.3">
      <c r="A10" s="35"/>
      <c r="B10" s="35"/>
      <c r="C10" s="35"/>
      <c r="D10" s="35"/>
      <c r="E10" s="35"/>
      <c r="F10" s="35"/>
      <c r="G10" s="35"/>
      <c r="H10" s="35"/>
    </row>
    <row r="11" spans="1:8" ht="18" customHeight="1" x14ac:dyDescent="0.3">
      <c r="A11" s="56" t="s">
        <v>13</v>
      </c>
      <c r="B11" s="48"/>
      <c r="C11" s="48"/>
      <c r="D11" s="48"/>
      <c r="E11" s="48"/>
      <c r="F11" s="48"/>
      <c r="G11" s="48"/>
      <c r="H11" s="45"/>
    </row>
    <row r="12" spans="1:8" ht="27.75" customHeight="1" x14ac:dyDescent="0.3">
      <c r="A12" s="50" t="s">
        <v>14</v>
      </c>
      <c r="B12" s="48"/>
      <c r="C12" s="48"/>
      <c r="D12" s="48"/>
      <c r="E12" s="48"/>
      <c r="F12" s="48"/>
      <c r="G12" s="48"/>
      <c r="H12" s="45"/>
    </row>
    <row r="13" spans="1:8" ht="21.75" customHeight="1" x14ac:dyDescent="0.3">
      <c r="A13" s="59" t="s">
        <v>15</v>
      </c>
      <c r="B13" s="60"/>
      <c r="C13" s="60"/>
      <c r="D13" s="60"/>
      <c r="E13" s="60"/>
      <c r="F13" s="60"/>
      <c r="G13" s="60"/>
      <c r="H13" s="61"/>
    </row>
    <row r="14" spans="1:8" ht="21.75" customHeight="1" x14ac:dyDescent="0.3">
      <c r="A14" s="62"/>
      <c r="B14" s="63"/>
      <c r="C14" s="63"/>
      <c r="D14" s="63"/>
      <c r="E14" s="63"/>
      <c r="F14" s="63"/>
      <c r="G14" s="63"/>
      <c r="H14" s="64"/>
    </row>
    <row r="15" spans="1:8" ht="21.75" customHeight="1" x14ac:dyDescent="0.3">
      <c r="A15" s="62"/>
      <c r="B15" s="63"/>
      <c r="C15" s="63"/>
      <c r="D15" s="63"/>
      <c r="E15" s="63"/>
      <c r="F15" s="63"/>
      <c r="G15" s="63"/>
      <c r="H15" s="64"/>
    </row>
    <row r="16" spans="1:8" ht="21.75" customHeight="1" x14ac:dyDescent="0.3">
      <c r="A16" s="65"/>
      <c r="B16" s="66"/>
      <c r="C16" s="66"/>
      <c r="D16" s="66"/>
      <c r="E16" s="66"/>
      <c r="F16" s="66"/>
      <c r="G16" s="66"/>
      <c r="H16" s="67"/>
    </row>
    <row r="17" spans="1:8" x14ac:dyDescent="0.3">
      <c r="A17" s="35"/>
      <c r="B17" s="35"/>
      <c r="C17" s="35"/>
      <c r="D17" s="35"/>
      <c r="E17" s="35"/>
      <c r="F17" s="35"/>
      <c r="G17" s="35"/>
      <c r="H17" s="35"/>
    </row>
    <row r="18" spans="1:8" ht="18" customHeight="1" x14ac:dyDescent="0.3">
      <c r="A18" s="56" t="s">
        <v>16</v>
      </c>
      <c r="B18" s="48"/>
      <c r="C18" s="48"/>
      <c r="D18" s="48"/>
      <c r="E18" s="48"/>
      <c r="F18" s="48"/>
      <c r="G18" s="48"/>
      <c r="H18" s="45"/>
    </row>
    <row r="19" spans="1:8" ht="25.5" customHeight="1" x14ac:dyDescent="0.3">
      <c r="A19" s="50" t="s">
        <v>17</v>
      </c>
      <c r="B19" s="48"/>
      <c r="C19" s="48"/>
      <c r="D19" s="48"/>
      <c r="E19" s="48"/>
      <c r="F19" s="48"/>
      <c r="G19" s="48"/>
      <c r="H19" s="45"/>
    </row>
    <row r="20" spans="1:8" ht="41.4" customHeight="1" x14ac:dyDescent="0.3">
      <c r="A20" s="37" t="s">
        <v>18</v>
      </c>
      <c r="B20" s="37" t="s">
        <v>19</v>
      </c>
      <c r="C20" s="37" t="s">
        <v>20</v>
      </c>
      <c r="D20" s="37" t="s">
        <v>21</v>
      </c>
      <c r="E20" s="37" t="s">
        <v>22</v>
      </c>
      <c r="F20" s="37" t="s">
        <v>23</v>
      </c>
      <c r="G20" s="37" t="s">
        <v>24</v>
      </c>
      <c r="H20" s="37" t="s">
        <v>25</v>
      </c>
    </row>
    <row r="21" spans="1:8" ht="100.8" x14ac:dyDescent="0.3">
      <c r="A21" s="38">
        <v>1</v>
      </c>
      <c r="B21" s="36" t="s">
        <v>26</v>
      </c>
      <c r="C21" s="36" t="s">
        <v>27</v>
      </c>
      <c r="D21" s="36" t="s">
        <v>28</v>
      </c>
      <c r="E21" s="39"/>
      <c r="F21" s="39"/>
      <c r="G21" s="36" t="s">
        <v>29</v>
      </c>
      <c r="H21" s="36" t="s">
        <v>30</v>
      </c>
    </row>
    <row r="22" spans="1:8" ht="57.6" x14ac:dyDescent="0.3">
      <c r="A22" s="38">
        <v>2</v>
      </c>
      <c r="B22" s="36" t="s">
        <v>31</v>
      </c>
      <c r="C22" s="36" t="s">
        <v>27</v>
      </c>
      <c r="D22" s="36" t="s">
        <v>32</v>
      </c>
      <c r="E22" s="39"/>
      <c r="F22" s="39">
        <v>30000</v>
      </c>
      <c r="G22" s="36" t="s">
        <v>33</v>
      </c>
      <c r="H22" s="36" t="s">
        <v>34</v>
      </c>
    </row>
    <row r="23" spans="1:8" ht="57.6" x14ac:dyDescent="0.3">
      <c r="A23" s="38">
        <v>3</v>
      </c>
      <c r="B23" s="36" t="s">
        <v>35</v>
      </c>
      <c r="C23" s="36" t="s">
        <v>27</v>
      </c>
      <c r="D23" s="36" t="s">
        <v>36</v>
      </c>
      <c r="E23" s="39"/>
      <c r="F23" s="39"/>
      <c r="G23" s="36" t="s">
        <v>37</v>
      </c>
      <c r="H23" s="36" t="s">
        <v>38</v>
      </c>
    </row>
    <row r="24" spans="1:8" ht="43.2" x14ac:dyDescent="0.3">
      <c r="A24" s="38">
        <v>4</v>
      </c>
      <c r="B24" s="36" t="s">
        <v>39</v>
      </c>
      <c r="C24" s="36" t="s">
        <v>40</v>
      </c>
      <c r="D24" s="36" t="s">
        <v>41</v>
      </c>
      <c r="E24" s="39"/>
      <c r="F24" s="39"/>
      <c r="G24" s="36" t="s">
        <v>42</v>
      </c>
      <c r="H24" s="36" t="s">
        <v>43</v>
      </c>
    </row>
    <row r="25" spans="1:8" ht="28.8" x14ac:dyDescent="0.3">
      <c r="A25" s="38">
        <v>5</v>
      </c>
      <c r="B25" s="36" t="s">
        <v>44</v>
      </c>
      <c r="C25" s="36" t="s">
        <v>45</v>
      </c>
      <c r="D25" s="36" t="s">
        <v>46</v>
      </c>
      <c r="E25" s="39"/>
      <c r="F25" s="39"/>
      <c r="G25" s="36" t="s">
        <v>47</v>
      </c>
      <c r="H25" s="36" t="s">
        <v>48</v>
      </c>
    </row>
    <row r="26" spans="1:8" x14ac:dyDescent="0.3">
      <c r="A26" s="38">
        <v>6</v>
      </c>
      <c r="B26" s="36"/>
      <c r="C26" s="36"/>
      <c r="D26" s="36"/>
      <c r="E26" s="39"/>
      <c r="F26" s="39"/>
      <c r="G26" s="36"/>
      <c r="H26" s="36"/>
    </row>
    <row r="27" spans="1:8" x14ac:dyDescent="0.3">
      <c r="A27" s="38">
        <v>7</v>
      </c>
      <c r="B27" s="36"/>
      <c r="C27" s="36"/>
      <c r="D27" s="36"/>
      <c r="E27" s="39"/>
      <c r="F27" s="39"/>
      <c r="G27" s="36"/>
      <c r="H27" s="36"/>
    </row>
    <row r="28" spans="1:8" x14ac:dyDescent="0.3">
      <c r="A28" s="38">
        <v>8</v>
      </c>
      <c r="B28" s="36"/>
      <c r="C28" s="36"/>
      <c r="D28" s="36"/>
      <c r="E28" s="39"/>
      <c r="F28" s="39"/>
      <c r="G28" s="36"/>
      <c r="H28" s="36"/>
    </row>
    <row r="29" spans="1:8" ht="23.85" customHeight="1" x14ac:dyDescent="0.3">
      <c r="A29" s="49" t="s">
        <v>49</v>
      </c>
      <c r="B29" s="48"/>
      <c r="C29" s="48"/>
      <c r="D29" s="45"/>
      <c r="E29" s="40">
        <f>SUM(E21:E28)</f>
        <v>0</v>
      </c>
      <c r="F29" s="40">
        <f>SUM(F21:F28)</f>
        <v>30000</v>
      </c>
      <c r="G29" s="54" t="s">
        <v>50</v>
      </c>
      <c r="H29" s="45"/>
    </row>
    <row r="30" spans="1:8" ht="28.35" customHeight="1" x14ac:dyDescent="0.3">
      <c r="A30" s="51" t="s">
        <v>51</v>
      </c>
      <c r="B30" s="45"/>
      <c r="C30" s="47" t="s">
        <v>52</v>
      </c>
      <c r="D30" s="48"/>
      <c r="E30" s="48"/>
      <c r="F30" s="48"/>
      <c r="G30" s="48"/>
      <c r="H30" s="45"/>
    </row>
    <row r="31" spans="1:8" ht="28.35" customHeight="1" x14ac:dyDescent="0.3">
      <c r="A31" s="51" t="s">
        <v>53</v>
      </c>
      <c r="B31" s="45"/>
      <c r="C31" s="47" t="s">
        <v>54</v>
      </c>
      <c r="D31" s="48"/>
      <c r="E31" s="48"/>
      <c r="F31" s="48"/>
      <c r="G31" s="48"/>
      <c r="H31" s="45"/>
    </row>
    <row r="32" spans="1:8" x14ac:dyDescent="0.3">
      <c r="A32" s="35"/>
      <c r="B32" s="35"/>
      <c r="C32" s="35"/>
      <c r="D32" s="35"/>
      <c r="E32" s="35"/>
      <c r="F32" s="35"/>
      <c r="G32" s="35"/>
      <c r="H32" s="35"/>
    </row>
    <row r="33" spans="1:8" ht="18" customHeight="1" x14ac:dyDescent="0.3">
      <c r="A33" s="56" t="s">
        <v>55</v>
      </c>
      <c r="B33" s="48"/>
      <c r="C33" s="48"/>
      <c r="D33" s="48"/>
      <c r="E33" s="48"/>
      <c r="F33" s="48"/>
      <c r="G33" s="48"/>
      <c r="H33" s="45"/>
    </row>
    <row r="34" spans="1:8" ht="25.5" customHeight="1" x14ac:dyDescent="0.3">
      <c r="A34" s="50" t="s">
        <v>56</v>
      </c>
      <c r="B34" s="48"/>
      <c r="C34" s="48"/>
      <c r="D34" s="48"/>
      <c r="E34" s="48"/>
      <c r="F34" s="48"/>
      <c r="G34" s="48"/>
      <c r="H34" s="45"/>
    </row>
    <row r="35" spans="1:8" ht="30" customHeight="1" x14ac:dyDescent="0.3">
      <c r="A35" s="37" t="s">
        <v>18</v>
      </c>
      <c r="B35" s="37" t="s">
        <v>57</v>
      </c>
      <c r="C35" s="37" t="s">
        <v>58</v>
      </c>
      <c r="D35" s="37" t="s">
        <v>59</v>
      </c>
      <c r="E35" s="37" t="s">
        <v>60</v>
      </c>
      <c r="F35" s="37" t="s">
        <v>61</v>
      </c>
      <c r="G35" s="37" t="s">
        <v>62</v>
      </c>
      <c r="H35" s="37" t="s">
        <v>63</v>
      </c>
    </row>
    <row r="36" spans="1:8" ht="43.2" x14ac:dyDescent="0.3">
      <c r="A36" s="38">
        <v>1</v>
      </c>
      <c r="B36" s="36" t="s">
        <v>64</v>
      </c>
      <c r="C36" s="36" t="s">
        <v>65</v>
      </c>
      <c r="D36" s="36" t="s">
        <v>27</v>
      </c>
      <c r="E36" s="39">
        <v>350000</v>
      </c>
      <c r="F36" s="39"/>
      <c r="G36" s="36" t="s">
        <v>66</v>
      </c>
      <c r="H36" s="36" t="s">
        <v>67</v>
      </c>
    </row>
    <row r="37" spans="1:8" x14ac:dyDescent="0.3">
      <c r="A37" s="38">
        <v>2</v>
      </c>
      <c r="B37" s="36"/>
      <c r="C37" s="36"/>
      <c r="D37" s="36"/>
      <c r="E37" s="39"/>
      <c r="F37" s="39"/>
      <c r="G37" s="36"/>
      <c r="H37" s="36"/>
    </row>
    <row r="38" spans="1:8" x14ac:dyDescent="0.3">
      <c r="A38" s="38">
        <v>3</v>
      </c>
      <c r="B38" s="36"/>
      <c r="C38" s="36"/>
      <c r="D38" s="36"/>
      <c r="E38" s="39"/>
      <c r="F38" s="39"/>
      <c r="G38" s="36"/>
      <c r="H38" s="36"/>
    </row>
    <row r="39" spans="1:8" x14ac:dyDescent="0.3">
      <c r="A39" s="38">
        <v>4</v>
      </c>
      <c r="B39" s="36"/>
      <c r="C39" s="36"/>
      <c r="D39" s="36"/>
      <c r="E39" s="39"/>
      <c r="F39" s="39"/>
      <c r="G39" s="36"/>
      <c r="H39" s="36"/>
    </row>
    <row r="40" spans="1:8" x14ac:dyDescent="0.3">
      <c r="A40" s="38">
        <v>5</v>
      </c>
      <c r="B40" s="36"/>
      <c r="C40" s="36"/>
      <c r="D40" s="36"/>
      <c r="E40" s="39"/>
      <c r="F40" s="39"/>
      <c r="G40" s="36"/>
      <c r="H40" s="36"/>
    </row>
    <row r="41" spans="1:8" x14ac:dyDescent="0.3">
      <c r="A41" s="38">
        <v>6</v>
      </c>
      <c r="B41" s="36"/>
      <c r="C41" s="36"/>
      <c r="D41" s="36"/>
      <c r="E41" s="39"/>
      <c r="F41" s="39"/>
      <c r="G41" s="36"/>
      <c r="H41" s="36"/>
    </row>
    <row r="42" spans="1:8" x14ac:dyDescent="0.3">
      <c r="A42" s="38">
        <v>7</v>
      </c>
      <c r="B42" s="36"/>
      <c r="C42" s="36"/>
      <c r="D42" s="36"/>
      <c r="E42" s="39"/>
      <c r="F42" s="39"/>
      <c r="G42" s="36"/>
      <c r="H42" s="36"/>
    </row>
    <row r="43" spans="1:8" x14ac:dyDescent="0.3">
      <c r="A43" s="38">
        <v>8</v>
      </c>
      <c r="B43" s="36"/>
      <c r="C43" s="36"/>
      <c r="D43" s="36"/>
      <c r="E43" s="39"/>
      <c r="F43" s="39"/>
      <c r="G43" s="36"/>
      <c r="H43" s="36"/>
    </row>
    <row r="44" spans="1:8" ht="15" customHeight="1" x14ac:dyDescent="0.3">
      <c r="A44" s="49" t="s">
        <v>68</v>
      </c>
      <c r="B44" s="48"/>
      <c r="C44" s="48"/>
      <c r="D44" s="45"/>
      <c r="E44" s="40">
        <f>SUM(E36:E43)</f>
        <v>350000</v>
      </c>
      <c r="F44" s="40">
        <f>SUM(F36:F43)</f>
        <v>0</v>
      </c>
      <c r="G44" s="54" t="s">
        <v>69</v>
      </c>
      <c r="H44" s="45"/>
    </row>
    <row r="45" spans="1:8" ht="28.35" customHeight="1" x14ac:dyDescent="0.3">
      <c r="A45" s="51" t="s">
        <v>70</v>
      </c>
      <c r="B45" s="45"/>
      <c r="C45" s="47" t="s">
        <v>71</v>
      </c>
      <c r="D45" s="48"/>
      <c r="E45" s="48"/>
      <c r="F45" s="48"/>
      <c r="G45" s="48"/>
      <c r="H45" s="45"/>
    </row>
    <row r="46" spans="1:8" ht="28.35" customHeight="1" x14ac:dyDescent="0.3">
      <c r="A46" s="51" t="s">
        <v>72</v>
      </c>
      <c r="B46" s="45"/>
      <c r="C46" s="47" t="s">
        <v>73</v>
      </c>
      <c r="D46" s="48"/>
      <c r="E46" s="48"/>
      <c r="F46" s="48"/>
      <c r="G46" s="48"/>
      <c r="H46" s="45"/>
    </row>
    <row r="47" spans="1:8" x14ac:dyDescent="0.3">
      <c r="A47" s="35"/>
      <c r="B47" s="35"/>
      <c r="C47" s="35"/>
      <c r="D47" s="35"/>
      <c r="E47" s="35"/>
      <c r="F47" s="35"/>
      <c r="G47" s="35"/>
      <c r="H47" s="35"/>
    </row>
    <row r="48" spans="1:8" ht="18" customHeight="1" x14ac:dyDescent="0.3">
      <c r="A48" s="56" t="s">
        <v>74</v>
      </c>
      <c r="B48" s="48"/>
      <c r="C48" s="48"/>
      <c r="D48" s="48"/>
      <c r="E48" s="48"/>
      <c r="F48" s="48"/>
      <c r="G48" s="48"/>
      <c r="H48" s="45"/>
    </row>
    <row r="49" spans="1:8" ht="15.75" customHeight="1" x14ac:dyDescent="0.3">
      <c r="A49" s="50" t="s">
        <v>75</v>
      </c>
      <c r="B49" s="48"/>
      <c r="C49" s="48"/>
      <c r="D49" s="48"/>
      <c r="E49" s="48"/>
      <c r="F49" s="48"/>
      <c r="G49" s="48"/>
      <c r="H49" s="45"/>
    </row>
    <row r="50" spans="1:8" ht="58.8" customHeight="1" x14ac:dyDescent="0.3">
      <c r="A50" s="37" t="s">
        <v>18</v>
      </c>
      <c r="B50" s="37" t="s">
        <v>76</v>
      </c>
      <c r="C50" s="37" t="s">
        <v>77</v>
      </c>
      <c r="D50" s="37" t="s">
        <v>78</v>
      </c>
      <c r="E50" s="37" t="s">
        <v>79</v>
      </c>
      <c r="F50" s="37" t="s">
        <v>80</v>
      </c>
      <c r="G50" s="37" t="s">
        <v>81</v>
      </c>
      <c r="H50" s="37" t="s">
        <v>82</v>
      </c>
    </row>
    <row r="51" spans="1:8" x14ac:dyDescent="0.3">
      <c r="A51" s="38">
        <v>1</v>
      </c>
      <c r="B51" s="36" t="s">
        <v>83</v>
      </c>
      <c r="C51" s="36" t="s">
        <v>83</v>
      </c>
      <c r="D51" s="36"/>
      <c r="E51" s="36"/>
      <c r="F51" s="36" t="s">
        <v>84</v>
      </c>
      <c r="G51" s="36" t="s">
        <v>85</v>
      </c>
      <c r="H51" s="36" t="s">
        <v>86</v>
      </c>
    </row>
    <row r="52" spans="1:8" x14ac:dyDescent="0.3">
      <c r="A52" s="38">
        <v>2</v>
      </c>
      <c r="B52" s="36" t="s">
        <v>87</v>
      </c>
      <c r="C52" s="36" t="s">
        <v>87</v>
      </c>
      <c r="D52" s="36"/>
      <c r="E52" s="36"/>
      <c r="F52" s="36" t="s">
        <v>84</v>
      </c>
      <c r="G52" s="36" t="s">
        <v>85</v>
      </c>
      <c r="H52" s="36" t="s">
        <v>88</v>
      </c>
    </row>
    <row r="53" spans="1:8" ht="28.8" x14ac:dyDescent="0.3">
      <c r="A53" s="38">
        <v>3</v>
      </c>
      <c r="B53" s="36" t="s">
        <v>89</v>
      </c>
      <c r="C53" s="36" t="s">
        <v>89</v>
      </c>
      <c r="D53" s="36"/>
      <c r="E53" s="36"/>
      <c r="F53" s="36" t="s">
        <v>84</v>
      </c>
      <c r="G53" s="36" t="s">
        <v>85</v>
      </c>
      <c r="H53" s="36" t="s">
        <v>90</v>
      </c>
    </row>
    <row r="54" spans="1:8" x14ac:dyDescent="0.3">
      <c r="A54" s="38">
        <v>4</v>
      </c>
      <c r="B54" s="36" t="s">
        <v>91</v>
      </c>
      <c r="C54" s="36" t="s">
        <v>92</v>
      </c>
      <c r="D54" s="36"/>
      <c r="E54" s="36"/>
      <c r="F54" s="36" t="s">
        <v>84</v>
      </c>
      <c r="G54" s="36" t="s">
        <v>85</v>
      </c>
      <c r="H54" s="36" t="s">
        <v>93</v>
      </c>
    </row>
    <row r="55" spans="1:8" x14ac:dyDescent="0.3">
      <c r="A55" s="38">
        <v>5</v>
      </c>
      <c r="B55" s="36" t="s">
        <v>94</v>
      </c>
      <c r="C55" s="36" t="s">
        <v>95</v>
      </c>
      <c r="D55" s="36"/>
      <c r="E55" s="36"/>
      <c r="F55" s="36" t="s">
        <v>84</v>
      </c>
      <c r="G55" s="36" t="s">
        <v>85</v>
      </c>
      <c r="H55" s="36" t="s">
        <v>96</v>
      </c>
    </row>
    <row r="56" spans="1:8" x14ac:dyDescent="0.3">
      <c r="A56" s="38">
        <v>6</v>
      </c>
      <c r="B56" s="36"/>
      <c r="C56" s="36"/>
      <c r="D56" s="36"/>
      <c r="E56" s="36"/>
      <c r="F56" s="36"/>
      <c r="G56" s="36"/>
      <c r="H56" s="36"/>
    </row>
    <row r="57" spans="1:8" ht="28.35" customHeight="1" x14ac:dyDescent="0.3">
      <c r="A57" s="51" t="s">
        <v>97</v>
      </c>
      <c r="B57" s="45"/>
      <c r="C57" s="47">
        <v>7</v>
      </c>
      <c r="D57" s="48"/>
      <c r="E57" s="48"/>
      <c r="F57" s="48"/>
      <c r="G57" s="48"/>
      <c r="H57" s="45"/>
    </row>
    <row r="58" spans="1:8" ht="28.35" customHeight="1" x14ac:dyDescent="0.3">
      <c r="A58" s="51" t="s">
        <v>98</v>
      </c>
      <c r="B58" s="45"/>
      <c r="C58" s="47" t="s">
        <v>99</v>
      </c>
      <c r="D58" s="48"/>
      <c r="E58" s="48"/>
      <c r="F58" s="48"/>
      <c r="G58" s="48"/>
      <c r="H58" s="45"/>
    </row>
    <row r="59" spans="1:8" ht="15" customHeight="1" x14ac:dyDescent="0.3">
      <c r="A59" s="51" t="s">
        <v>100</v>
      </c>
      <c r="B59" s="45"/>
      <c r="C59" s="47" t="s">
        <v>99</v>
      </c>
      <c r="D59" s="48"/>
      <c r="E59" s="48"/>
      <c r="F59" s="48"/>
      <c r="G59" s="48"/>
      <c r="H59" s="45"/>
    </row>
    <row r="60" spans="1:8" ht="28.35" customHeight="1" x14ac:dyDescent="0.3">
      <c r="A60" s="51" t="s">
        <v>101</v>
      </c>
      <c r="B60" s="45"/>
      <c r="C60" s="47"/>
      <c r="D60" s="48"/>
      <c r="E60" s="48"/>
      <c r="F60" s="48"/>
      <c r="G60" s="48"/>
      <c r="H60" s="45"/>
    </row>
    <row r="61" spans="1:8" ht="15" customHeight="1" x14ac:dyDescent="0.3">
      <c r="A61" s="51" t="s">
        <v>102</v>
      </c>
      <c r="B61" s="45"/>
      <c r="C61" s="47" t="s">
        <v>103</v>
      </c>
      <c r="D61" s="48"/>
      <c r="E61" s="48"/>
      <c r="F61" s="48"/>
      <c r="G61" s="48"/>
      <c r="H61" s="45"/>
    </row>
    <row r="62" spans="1:8" ht="41.7" customHeight="1" x14ac:dyDescent="0.3">
      <c r="A62" s="51" t="s">
        <v>104</v>
      </c>
      <c r="B62" s="45"/>
      <c r="C62" s="47" t="s">
        <v>105</v>
      </c>
      <c r="D62" s="48"/>
      <c r="E62" s="48"/>
      <c r="F62" s="48"/>
      <c r="G62" s="48"/>
      <c r="H62" s="45"/>
    </row>
    <row r="63" spans="1:8" x14ac:dyDescent="0.3">
      <c r="A63" s="35"/>
      <c r="B63" s="35"/>
      <c r="C63" s="35"/>
      <c r="D63" s="35"/>
      <c r="E63" s="35"/>
      <c r="F63" s="35"/>
      <c r="G63" s="35"/>
      <c r="H63" s="35"/>
    </row>
    <row r="64" spans="1:8" ht="18" customHeight="1" x14ac:dyDescent="0.3">
      <c r="A64" s="56" t="s">
        <v>106</v>
      </c>
      <c r="B64" s="48"/>
      <c r="C64" s="48"/>
      <c r="D64" s="48"/>
      <c r="E64" s="48"/>
      <c r="F64" s="48"/>
      <c r="G64" s="48"/>
      <c r="H64" s="45"/>
    </row>
    <row r="65" spans="1:8" ht="15" customHeight="1" x14ac:dyDescent="0.3">
      <c r="A65" s="49" t="s">
        <v>107</v>
      </c>
      <c r="B65" s="48"/>
      <c r="C65" s="48"/>
      <c r="D65" s="45"/>
      <c r="E65" s="52">
        <f>F29</f>
        <v>30000</v>
      </c>
      <c r="F65" s="45"/>
      <c r="G65" s="35"/>
      <c r="H65" s="35"/>
    </row>
    <row r="66" spans="1:8" ht="15" customHeight="1" x14ac:dyDescent="0.3">
      <c r="A66" s="49" t="s">
        <v>108</v>
      </c>
      <c r="B66" s="48"/>
      <c r="C66" s="48"/>
      <c r="D66" s="45"/>
      <c r="E66" s="52">
        <f>C60</f>
        <v>0</v>
      </c>
      <c r="F66" s="45"/>
      <c r="G66" s="35"/>
      <c r="H66" s="35"/>
    </row>
    <row r="67" spans="1:8" ht="15" customHeight="1" x14ac:dyDescent="0.3">
      <c r="A67" s="49" t="s">
        <v>109</v>
      </c>
      <c r="B67" s="48"/>
      <c r="C67" s="48"/>
      <c r="D67" s="45"/>
      <c r="E67" s="52">
        <f>F44</f>
        <v>0</v>
      </c>
      <c r="F67" s="45"/>
      <c r="G67" s="35"/>
      <c r="H67" s="35"/>
    </row>
    <row r="68" spans="1:8" ht="15" customHeight="1" x14ac:dyDescent="0.3">
      <c r="A68" s="49" t="s">
        <v>110</v>
      </c>
      <c r="B68" s="48"/>
      <c r="C68" s="48"/>
      <c r="D68" s="45"/>
      <c r="E68" s="52">
        <f>E65-E66-E67</f>
        <v>30000</v>
      </c>
      <c r="F68" s="45"/>
      <c r="G68" s="35"/>
      <c r="H68" s="35"/>
    </row>
    <row r="69" spans="1:8" ht="15" customHeight="1" x14ac:dyDescent="0.3">
      <c r="A69" s="51" t="s">
        <v>111</v>
      </c>
      <c r="B69" s="48"/>
      <c r="C69" s="48"/>
      <c r="D69" s="45"/>
      <c r="E69" s="58"/>
      <c r="F69" s="45"/>
      <c r="G69" s="35"/>
      <c r="H69" s="35"/>
    </row>
    <row r="70" spans="1:8" ht="15" customHeight="1" x14ac:dyDescent="0.3">
      <c r="A70" s="49" t="s">
        <v>112</v>
      </c>
      <c r="B70" s="48"/>
      <c r="C70" s="48"/>
      <c r="D70" s="45"/>
      <c r="E70" s="46" t="str">
        <f>IF(E69=0,"—",ROUND(E68/E69,1)&amp;"x")</f>
        <v>—</v>
      </c>
      <c r="F70" s="45"/>
      <c r="G70" s="35"/>
      <c r="H70" s="35"/>
    </row>
    <row r="71" spans="1:8" ht="15" customHeight="1" x14ac:dyDescent="0.3">
      <c r="A71" s="49" t="s">
        <v>113</v>
      </c>
      <c r="B71" s="48"/>
      <c r="C71" s="48"/>
      <c r="D71" s="45"/>
      <c r="E71" s="46" t="str">
        <f>IF(E65=0,"—",ROUND((E67+E69)/E65*100,0)&amp;"%")</f>
        <v>0%</v>
      </c>
      <c r="F71" s="45"/>
      <c r="G71" s="35"/>
      <c r="H71" s="35"/>
    </row>
    <row r="72" spans="1:8" ht="41.7" customHeight="1" x14ac:dyDescent="0.3">
      <c r="A72" s="51" t="s">
        <v>114</v>
      </c>
      <c r="B72" s="45"/>
      <c r="C72" s="47" t="s">
        <v>115</v>
      </c>
      <c r="D72" s="48"/>
      <c r="E72" s="48"/>
      <c r="F72" s="48"/>
      <c r="G72" s="48"/>
      <c r="H72" s="45"/>
    </row>
    <row r="73" spans="1:8" x14ac:dyDescent="0.3">
      <c r="A73" s="35"/>
      <c r="B73" s="35"/>
      <c r="C73" s="35"/>
      <c r="D73" s="35"/>
      <c r="E73" s="35"/>
      <c r="F73" s="35"/>
      <c r="G73" s="35"/>
      <c r="H73" s="35"/>
    </row>
    <row r="74" spans="1:8" ht="18" customHeight="1" x14ac:dyDescent="0.3">
      <c r="A74" s="56" t="s">
        <v>116</v>
      </c>
      <c r="B74" s="48"/>
      <c r="C74" s="48"/>
      <c r="D74" s="48"/>
      <c r="E74" s="48"/>
      <c r="F74" s="48"/>
      <c r="G74" s="48"/>
      <c r="H74" s="45"/>
    </row>
    <row r="75" spans="1:8" ht="30" customHeight="1" x14ac:dyDescent="0.3">
      <c r="A75" s="51" t="s">
        <v>117</v>
      </c>
      <c r="B75" s="45"/>
      <c r="C75" s="47" t="s">
        <v>118</v>
      </c>
      <c r="D75" s="48"/>
      <c r="E75" s="48"/>
      <c r="F75" s="48"/>
      <c r="G75" s="48"/>
      <c r="H75" s="45"/>
    </row>
    <row r="76" spans="1:8" ht="41.4" customHeight="1" x14ac:dyDescent="0.3">
      <c r="A76" s="51" t="s">
        <v>119</v>
      </c>
      <c r="B76" s="45"/>
      <c r="C76" s="47" t="s">
        <v>120</v>
      </c>
      <c r="D76" s="48"/>
      <c r="E76" s="48"/>
      <c r="F76" s="48"/>
      <c r="G76" s="48"/>
      <c r="H76" s="45"/>
    </row>
    <row r="77" spans="1:8" ht="30" customHeight="1" x14ac:dyDescent="0.3">
      <c r="A77" s="51" t="s">
        <v>121</v>
      </c>
      <c r="B77" s="45"/>
      <c r="C77" s="47" t="s">
        <v>122</v>
      </c>
      <c r="D77" s="48"/>
      <c r="E77" s="48"/>
      <c r="F77" s="48"/>
      <c r="G77" s="48"/>
      <c r="H77" s="45"/>
    </row>
    <row r="78" spans="1:8" ht="33.6" customHeight="1" x14ac:dyDescent="0.3">
      <c r="A78" s="51" t="s">
        <v>123</v>
      </c>
      <c r="B78" s="45"/>
      <c r="C78" s="47" t="s">
        <v>124</v>
      </c>
      <c r="D78" s="48"/>
      <c r="E78" s="48"/>
      <c r="F78" s="48"/>
      <c r="G78" s="48"/>
      <c r="H78" s="45"/>
    </row>
    <row r="79" spans="1:8" ht="35.4" customHeight="1" x14ac:dyDescent="0.3">
      <c r="A79" s="51" t="s">
        <v>125</v>
      </c>
      <c r="B79" s="45"/>
      <c r="C79" s="47" t="s">
        <v>126</v>
      </c>
      <c r="D79" s="48"/>
      <c r="E79" s="48"/>
      <c r="F79" s="48"/>
      <c r="G79" s="48"/>
      <c r="H79" s="45"/>
    </row>
    <row r="80" spans="1:8" ht="47.4" customHeight="1" x14ac:dyDescent="0.3">
      <c r="A80" s="51" t="s">
        <v>127</v>
      </c>
      <c r="B80" s="45"/>
      <c r="C80" s="47" t="s">
        <v>128</v>
      </c>
      <c r="D80" s="48"/>
      <c r="E80" s="48"/>
      <c r="F80" s="48"/>
      <c r="G80" s="48"/>
      <c r="H80" s="45"/>
    </row>
    <row r="81" spans="1:8" ht="40.200000000000003" customHeight="1" x14ac:dyDescent="0.3">
      <c r="A81" s="51" t="s">
        <v>129</v>
      </c>
      <c r="B81" s="45"/>
      <c r="C81" s="47" t="s">
        <v>130</v>
      </c>
      <c r="D81" s="48"/>
      <c r="E81" s="48"/>
      <c r="F81" s="48"/>
      <c r="G81" s="48"/>
      <c r="H81" s="45"/>
    </row>
    <row r="82" spans="1:8" ht="19.5" customHeight="1" x14ac:dyDescent="0.3">
      <c r="A82" s="68" t="s">
        <v>131</v>
      </c>
      <c r="B82" s="45"/>
      <c r="C82" s="57" t="s">
        <v>132</v>
      </c>
      <c r="D82" s="45"/>
      <c r="E82" s="53" t="s">
        <v>133</v>
      </c>
      <c r="F82" s="48"/>
      <c r="G82" s="48"/>
      <c r="H82" s="45"/>
    </row>
    <row r="83" spans="1:8" x14ac:dyDescent="0.3">
      <c r="A83" s="35"/>
      <c r="B83" s="35"/>
      <c r="C83" s="35"/>
      <c r="D83" s="35"/>
      <c r="E83" s="35"/>
      <c r="F83" s="35"/>
      <c r="G83" s="35"/>
      <c r="H83" s="35"/>
    </row>
    <row r="84" spans="1:8" ht="27.75" customHeight="1" x14ac:dyDescent="0.3">
      <c r="A84" s="50" t="s">
        <v>134</v>
      </c>
      <c r="B84" s="48"/>
      <c r="C84" s="48"/>
      <c r="D84" s="48"/>
      <c r="E84" s="48"/>
      <c r="F84" s="48"/>
      <c r="G84" s="48"/>
      <c r="H84" s="45"/>
    </row>
  </sheetData>
  <mergeCells count="92">
    <mergeCell ref="A1:H1"/>
    <mergeCell ref="G8:H8"/>
    <mergeCell ref="A6:B6"/>
    <mergeCell ref="A67:D67"/>
    <mergeCell ref="C60:H60"/>
    <mergeCell ref="G6:H6"/>
    <mergeCell ref="A12:H12"/>
    <mergeCell ref="G5:H5"/>
    <mergeCell ref="A66:D66"/>
    <mergeCell ref="G29:H29"/>
    <mergeCell ref="G4:H4"/>
    <mergeCell ref="A31:B31"/>
    <mergeCell ref="A58:B58"/>
    <mergeCell ref="E69:F69"/>
    <mergeCell ref="A80:B80"/>
    <mergeCell ref="A13:H16"/>
    <mergeCell ref="A74:H74"/>
    <mergeCell ref="C57:H57"/>
    <mergeCell ref="A69:D69"/>
    <mergeCell ref="A57:B57"/>
    <mergeCell ref="A65:D65"/>
    <mergeCell ref="A33:H33"/>
    <mergeCell ref="E70:F70"/>
    <mergeCell ref="C58:H58"/>
    <mergeCell ref="C45:H45"/>
    <mergeCell ref="A19:H19"/>
    <mergeCell ref="A34:H34"/>
    <mergeCell ref="A60:B60"/>
    <mergeCell ref="C80:H80"/>
    <mergeCell ref="A2:H2"/>
    <mergeCell ref="A8:B8"/>
    <mergeCell ref="C30:H30"/>
    <mergeCell ref="C8:D8"/>
    <mergeCell ref="C62:H62"/>
    <mergeCell ref="A48:H48"/>
    <mergeCell ref="E6:F6"/>
    <mergeCell ref="A5:B5"/>
    <mergeCell ref="A4:B4"/>
    <mergeCell ref="C7:D7"/>
    <mergeCell ref="E7:F7"/>
    <mergeCell ref="A9:H9"/>
    <mergeCell ref="C31:H31"/>
    <mergeCell ref="A11:H11"/>
    <mergeCell ref="C4:D4"/>
    <mergeCell ref="E4:F4"/>
    <mergeCell ref="G7:H7"/>
    <mergeCell ref="A46:B46"/>
    <mergeCell ref="A84:H84"/>
    <mergeCell ref="A18:H18"/>
    <mergeCell ref="C82:D82"/>
    <mergeCell ref="E66:F66"/>
    <mergeCell ref="A71:D71"/>
    <mergeCell ref="A77:B77"/>
    <mergeCell ref="E68:F68"/>
    <mergeCell ref="A64:H64"/>
    <mergeCell ref="A68:D68"/>
    <mergeCell ref="A78:B78"/>
    <mergeCell ref="C76:H76"/>
    <mergeCell ref="A75:B75"/>
    <mergeCell ref="A59:B59"/>
    <mergeCell ref="C5:D5"/>
    <mergeCell ref="E67:F67"/>
    <mergeCell ref="A45:B45"/>
    <mergeCell ref="E5:F5"/>
    <mergeCell ref="A61:B61"/>
    <mergeCell ref="C81:H81"/>
    <mergeCell ref="A70:D70"/>
    <mergeCell ref="A76:B76"/>
    <mergeCell ref="E82:H82"/>
    <mergeCell ref="C78:H78"/>
    <mergeCell ref="C79:H79"/>
    <mergeCell ref="A79:B79"/>
    <mergeCell ref="A82:B82"/>
    <mergeCell ref="C77:H77"/>
    <mergeCell ref="A72:B72"/>
    <mergeCell ref="A81:B81"/>
    <mergeCell ref="C6:D6"/>
    <mergeCell ref="E71:F71"/>
    <mergeCell ref="C75:H75"/>
    <mergeCell ref="A29:D29"/>
    <mergeCell ref="A49:H49"/>
    <mergeCell ref="E8:F8"/>
    <mergeCell ref="C59:H59"/>
    <mergeCell ref="A44:D44"/>
    <mergeCell ref="C46:H46"/>
    <mergeCell ref="A7:B7"/>
    <mergeCell ref="C61:H61"/>
    <mergeCell ref="E65:F65"/>
    <mergeCell ref="C72:H72"/>
    <mergeCell ref="A62:B62"/>
    <mergeCell ref="G44:H44"/>
    <mergeCell ref="A30:B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showGridLines="0" topLeftCell="A30" zoomScaleNormal="100" workbookViewId="0">
      <selection activeCell="A2" sqref="A2:C2"/>
    </sheetView>
  </sheetViews>
  <sheetFormatPr defaultColWidth="8.6640625" defaultRowHeight="14.4" x14ac:dyDescent="0.3"/>
  <cols>
    <col min="1" max="1" width="7.21875" customWidth="1"/>
    <col min="2" max="2" width="95" customWidth="1"/>
    <col min="3" max="3" width="12" customWidth="1"/>
  </cols>
  <sheetData>
    <row r="1" spans="1:3" ht="17.25" customHeight="1" x14ac:dyDescent="0.3">
      <c r="A1" s="72" t="s">
        <v>362</v>
      </c>
      <c r="B1" s="63"/>
      <c r="C1" s="63"/>
    </row>
    <row r="2" spans="1:3" ht="27" customHeight="1" x14ac:dyDescent="0.3">
      <c r="A2" s="73" t="s">
        <v>363</v>
      </c>
      <c r="B2" s="63"/>
      <c r="C2" s="63"/>
    </row>
    <row r="3" spans="1:3" ht="14.25" customHeight="1" x14ac:dyDescent="0.3">
      <c r="A3" s="6"/>
      <c r="B3" s="6"/>
      <c r="C3" s="6"/>
    </row>
    <row r="4" spans="1:3" ht="14.25" customHeight="1" x14ac:dyDescent="0.3">
      <c r="A4" s="16" t="s">
        <v>364</v>
      </c>
      <c r="B4" s="4" t="s">
        <v>365</v>
      </c>
      <c r="C4" s="25">
        <f>Scorecard!E72</f>
        <v>43</v>
      </c>
    </row>
    <row r="5" spans="1:3" ht="14.25" customHeight="1" x14ac:dyDescent="0.3">
      <c r="A5" s="17"/>
      <c r="B5" s="26" t="s">
        <v>366</v>
      </c>
      <c r="C5" s="23">
        <f>IF(Scorecard!E72="","",MAX(0,ROUND(90-Scorecard!E72,1)))</f>
        <v>47</v>
      </c>
    </row>
    <row r="6" spans="1:3" ht="14.25" customHeight="1" x14ac:dyDescent="0.3">
      <c r="A6" s="17"/>
      <c r="B6" s="17"/>
      <c r="C6" s="17"/>
    </row>
    <row r="7" spans="1:3" ht="14.25" customHeight="1" x14ac:dyDescent="0.3">
      <c r="A7" s="27" t="s">
        <v>367</v>
      </c>
      <c r="B7" s="4" t="s">
        <v>368</v>
      </c>
      <c r="C7" s="25" t="s">
        <v>369</v>
      </c>
    </row>
    <row r="8" spans="1:3" ht="14.25" customHeight="1" x14ac:dyDescent="0.3">
      <c r="A8" s="4" t="str">
        <f>Scorecard!A63</f>
        <v>K1</v>
      </c>
      <c r="B8" s="1" t="str">
        <f>IF(Scorecard!E63="FAIL","GATE FAILED — "&amp;Scorecard!B63,"—")</f>
        <v>GATE FAILED — Valid recording — ≥ 15 minutes (MANDATORY), not beyond 30; audible; recorded the SAME DAY as the visits, after all sites were covered.</v>
      </c>
      <c r="C8" s="20" t="str">
        <f>Scorecard!E63</f>
        <v>FAIL</v>
      </c>
    </row>
    <row r="9" spans="1:3" ht="14.25" customHeight="1" x14ac:dyDescent="0.3">
      <c r="A9" s="4" t="str">
        <f>Scorecard!A64</f>
        <v>K2</v>
      </c>
      <c r="B9" s="1" t="str">
        <f>IF(Scorecard!E64="FAIL","GATE FAILED — "&amp;Scorecard!B64,"—")</f>
        <v>—</v>
      </c>
      <c r="C9" s="20" t="str">
        <f>Scorecard!E64</f>
        <v>PASS</v>
      </c>
    </row>
    <row r="10" spans="1:3" ht="14.25" customHeight="1" x14ac:dyDescent="0.3">
      <c r="A10" s="4" t="str">
        <f>Scorecard!A65</f>
        <v>K3</v>
      </c>
      <c r="B10" s="1" t="str">
        <f>IF(Scorecard!E65="FAIL","GATE FAILED — "&amp;Scorecard!B65,"—")</f>
        <v>—</v>
      </c>
      <c r="C10" s="20" t="str">
        <f>Scorecard!E65</f>
        <v>PASS</v>
      </c>
    </row>
    <row r="11" spans="1:3" ht="14.25" customHeight="1" x14ac:dyDescent="0.3">
      <c r="A11" s="4" t="str">
        <f>Scorecard!A66</f>
        <v>K4</v>
      </c>
      <c r="B11" s="1" t="str">
        <f>IF(Scorecard!E66="FAIL","GATE FAILED — "&amp;Scorecard!B66,"—")</f>
        <v>GATE FAILED — Residence AND collateral visited (or confirmed same site); family members and the co-borrower spoken to.</v>
      </c>
      <c r="C11" s="20" t="str">
        <f>Scorecard!E66</f>
        <v>FAIL</v>
      </c>
    </row>
    <row r="12" spans="1:3" ht="14.25" customHeight="1" x14ac:dyDescent="0.3">
      <c r="A12" s="4" t="str">
        <f>Scorecard!A67</f>
        <v>K5</v>
      </c>
      <c r="B12" s="1" t="str">
        <f>IF(Scorecard!E67="FAIL","GATE FAILED — "&amp;Scorecard!B67,"—")</f>
        <v>GATE FAILED — Neighbour verification done — at least 2 business neighbours and 2 residence neighbours enquired, names/contacts collected.</v>
      </c>
      <c r="C12" s="20" t="str">
        <f>Scorecard!E67</f>
        <v>FAIL</v>
      </c>
    </row>
    <row r="13" spans="1:3" ht="14.25" customHeight="1" x14ac:dyDescent="0.3">
      <c r="A13" s="4" t="str">
        <f>Scorecard!A68</f>
        <v>K6</v>
      </c>
      <c r="B13" s="1" t="str">
        <f>IF(Scorecard!E68="FAIL","GATE FAILED — "&amp;Scorecard!B68,"—")</f>
        <v>—</v>
      </c>
      <c r="C13" s="20" t="str">
        <f>Scorecard!E68</f>
        <v>PASS</v>
      </c>
    </row>
    <row r="14" spans="1:3" ht="14.25" customHeight="1" x14ac:dyDescent="0.3">
      <c r="A14" s="4" t="str">
        <f>Scorecard!A69</f>
        <v>K7</v>
      </c>
      <c r="B14" s="1" t="str">
        <f>IF(Scorecard!E69="FAIL","GATE FAILED — "&amp;Scorecard!B69,"—")</f>
        <v>—</v>
      </c>
      <c r="C14" s="20" t="str">
        <f>Scorecard!E69</f>
        <v>PASS</v>
      </c>
    </row>
    <row r="15" spans="1:3" ht="14.25" customHeight="1" x14ac:dyDescent="0.3">
      <c r="A15" s="4" t="str">
        <f>Scorecard!A70</f>
        <v>K8</v>
      </c>
      <c r="B15" s="1" t="str">
        <f>IF(Scorecard!E70="FAIL","GATE FAILED — "&amp;Scorecard!B70,"—")</f>
        <v>—</v>
      </c>
      <c r="C15" s="20" t="str">
        <f>Scorecard!E70</f>
        <v>PASS</v>
      </c>
    </row>
    <row r="16" spans="1:3" ht="14.25" customHeight="1" x14ac:dyDescent="0.3">
      <c r="A16" s="6"/>
      <c r="B16" s="6"/>
      <c r="C16" s="6"/>
    </row>
    <row r="17" spans="1:3" ht="27.75" customHeight="1" x14ac:dyDescent="0.3">
      <c r="A17" s="7" t="s">
        <v>370</v>
      </c>
      <c r="B17" s="7" t="s">
        <v>371</v>
      </c>
      <c r="C17" s="7" t="s">
        <v>372</v>
      </c>
    </row>
    <row r="18" spans="1:3" ht="14.25" customHeight="1" x14ac:dyDescent="0.3">
      <c r="A18" s="4" t="str">
        <f>Scorecard!A11</f>
        <v>A1</v>
      </c>
      <c r="B18" s="1" t="str">
        <f>IF(Scorecard!G11="None","NOT NARRATED — "&amp;Scorecard!B11&amp;" | Cover: "&amp;Scorecard!C11,IF(Scorecard!G11="Partial","INCOMPLETE — "&amp;Scorecard!B11&amp;" | Asked but not fully probed/confirmed.",""))</f>
        <v/>
      </c>
      <c r="C18" s="20" t="str">
        <f>IF(Scorecard!G11="None",Scorecard!F11,IF(Scorecard!G11="Partial",Scorecard!F11/2,""))</f>
        <v/>
      </c>
    </row>
    <row r="19" spans="1:3" ht="14.25" customHeight="1" x14ac:dyDescent="0.3">
      <c r="A19" s="4" t="str">
        <f>Scorecard!A12</f>
        <v>A2</v>
      </c>
      <c r="B19" s="1" t="str">
        <f>IF(Scorecard!G12="None","NOT NARRATED — "&amp;Scorecard!B12&amp;" | Cover: "&amp;Scorecard!C12,IF(Scorecard!G12="Partial","INCOMPLETE — "&amp;Scorecard!B12&amp;" | Asked but not fully probed/confirmed.",""))</f>
        <v>INCOMPLETE — All visits confirmed — when and whom | Asked but not fully probed/confirmed.</v>
      </c>
      <c r="C19" s="20">
        <f>IF(Scorecard!G12="None",Scorecard!F12,IF(Scorecard!G12="Partial",Scorecard!F12/2,""))</f>
        <v>1</v>
      </c>
    </row>
    <row r="20" spans="1:3" ht="14.25" customHeight="1" x14ac:dyDescent="0.3">
      <c r="A20" s="4" t="str">
        <f>Scorecard!A13</f>
        <v>A3</v>
      </c>
      <c r="B20" s="1" t="str">
        <f>IF(Scorecard!G13="None","NOT NARRATED — "&amp;Scorecard!B13&amp;" | Cover: "&amp;Scorecard!C13,IF(Scorecard!G13="Partial","INCOMPLETE — "&amp;Scorecard!B13&amp;" | Asked but not fully probed/confirmed.",""))</f>
        <v>NOT NARRATED — Photo/document capture confirmed | Cover: Geo-tagged photos — business premises, QR codes, hoarding/signboard, stock, bills — business-neighbour signboards, residence-neighbour contacts, dairy selfie, agri photos/GPS video (if agri &gt;Rs.10k/mo) — confirmed taken &amp; uploaded.</v>
      </c>
      <c r="C20" s="20">
        <f>IF(Scorecard!G13="None",Scorecard!F13,IF(Scorecard!G13="Partial",Scorecard!F13/2,""))</f>
        <v>2</v>
      </c>
    </row>
    <row r="21" spans="1:3" ht="14.25" customHeight="1" x14ac:dyDescent="0.3">
      <c r="A21" s="4" t="str">
        <f>Scorecard!A14</f>
        <v>A4</v>
      </c>
      <c r="B21" s="1" t="str">
        <f>IF(Scorecard!G14="None","NOT NARRATED — "&amp;Scorecard!B14&amp;" | Cover: "&amp;Scorecard!C14,IF(Scorecard!G14="Partial","INCOMPLETE — "&amp;Scorecard!B14&amp;" | Asked but not fully probed/confirmed.",""))</f>
        <v>INCOMPLETE — Same-day recording, correct duration | Asked but not fully probed/confirmed.</v>
      </c>
      <c r="C21" s="20">
        <f>IF(Scorecard!G14="None",Scorecard!F14,IF(Scorecard!G14="Partial",Scorecard!F14/2,""))</f>
        <v>1</v>
      </c>
    </row>
    <row r="22" spans="1:3" ht="14.25" customHeight="1" x14ac:dyDescent="0.3">
      <c r="A22" s="4" t="str">
        <f>Scorecard!A16</f>
        <v>B1</v>
      </c>
      <c r="B22" s="1" t="str">
        <f>IF(Scorecard!G16="None","NOT NARRATED — "&amp;Scorecard!B16&amp;" | Cover: "&amp;Scorecard!C16,IF(Scorecard!G16="Partial","INCOMPLETE — "&amp;Scorecard!B16&amp;" | Asked but not fully probed/confirmed.",""))</f>
        <v>INCOMPLETE — Every business visited and described as seen | Asked but not fully probed/confirmed.</v>
      </c>
      <c r="C22" s="20">
        <f>IF(Scorecard!G16="None",Scorecard!F16,IF(Scorecard!G16="Partial",Scorecard!F16/2,""))</f>
        <v>2.5</v>
      </c>
    </row>
    <row r="23" spans="1:3" ht="14.25" customHeight="1" x14ac:dyDescent="0.3">
      <c r="A23" s="4" t="str">
        <f>Scorecard!A17</f>
        <v>B2</v>
      </c>
      <c r="B23" s="1" t="str">
        <f>IF(Scorecard!G17="None","NOT NARRATED — "&amp;Scorecard!B17&amp;" | Cover: "&amp;Scorecard!C17,IF(Scorecard!G17="Partial","INCOMPLETE — "&amp;Scorecard!B17&amp;" | Asked but not fully probed/confirmed.",""))</f>
        <v/>
      </c>
      <c r="C23" s="20" t="str">
        <f>IF(Scorecard!G17="None",Scorecard!F17,IF(Scorecard!G17="Partial",Scorecard!F17/2,""))</f>
        <v/>
      </c>
    </row>
    <row r="24" spans="1:3" ht="14.25" customHeight="1" x14ac:dyDescent="0.3">
      <c r="A24" s="4" t="str">
        <f>Scorecard!A18</f>
        <v>B3</v>
      </c>
      <c r="B24" s="1" t="str">
        <f>IF(Scorecard!G18="None","NOT NARRATED — "&amp;Scorecard!B18&amp;" | Cover: "&amp;Scorecard!C18,IF(Scorecard!G18="Partial","INCOMPLETE — "&amp;Scorecard!B18&amp;" | Asked but not fully probed/confirmed.",""))</f>
        <v/>
      </c>
      <c r="C24" s="20" t="str">
        <f>IF(Scorecard!G18="None",Scorecard!F18,IF(Scorecard!G18="Partial",Scorecard!F18/2,""))</f>
        <v/>
      </c>
    </row>
    <row r="25" spans="1:3" ht="14.25" customHeight="1" x14ac:dyDescent="0.3">
      <c r="A25" s="4" t="str">
        <f>Scorecard!A19</f>
        <v>B4</v>
      </c>
      <c r="B25" s="1" t="str">
        <f>IF(Scorecard!G19="None","NOT NARRATED — "&amp;Scorecard!B19&amp;" | Cover: "&amp;Scorecard!C19,IF(Scorecard!G19="Partial","INCOMPLETE — "&amp;Scorecard!B19&amp;" | Asked but not fully probed/confirmed.",""))</f>
        <v>INCOMPLETE — Income documents asked and examined | Asked but not fully probed/confirmed.</v>
      </c>
      <c r="C25" s="20">
        <f>IF(Scorecard!G19="None",Scorecard!F19,IF(Scorecard!G19="Partial",Scorecard!F19/2,""))</f>
        <v>2</v>
      </c>
    </row>
    <row r="26" spans="1:3" ht="14.25" customHeight="1" x14ac:dyDescent="0.3">
      <c r="A26" s="4" t="str">
        <f>Scorecard!A20</f>
        <v>B5</v>
      </c>
      <c r="B26" s="1" t="str">
        <f>IF(Scorecard!G20="None","NOT NARRATED — "&amp;Scorecard!B20&amp;" | Cover: "&amp;Scorecard!C20,IF(Scorecard!G20="Partial","INCOMPLETE — "&amp;Scorecard!B20&amp;" | Asked but not fully probed/confirmed.",""))</f>
        <v>NOT NARRATED — Business-neighbour enquiry narrated | Cover: 2+ neighbouring businesses spoken to — names/contacts, signboards photographed; substance of what they said.</v>
      </c>
      <c r="C26" s="20">
        <f>IF(Scorecard!G20="None",Scorecard!F20,IF(Scorecard!G20="Partial",Scorecard!F20/2,""))</f>
        <v>4</v>
      </c>
    </row>
    <row r="27" spans="1:3" ht="14.25" customHeight="1" x14ac:dyDescent="0.3">
      <c r="A27" s="4" t="str">
        <f>Scorecard!A21</f>
        <v>B6</v>
      </c>
      <c r="B27" s="1" t="str">
        <f>IF(Scorecard!G21="None","NOT NARRATED — "&amp;Scorecard!B21&amp;" | Cover: "&amp;Scorecard!C21,IF(Scorecard!G21="Partial","INCOMPLETE — "&amp;Scorecard!B21&amp;" | Asked but not fully probed/confirmed.",""))</f>
        <v>INCOMPLETE — Genuineness view — no staged setup | Asked but not fully probed/confirmed.</v>
      </c>
      <c r="C27" s="20">
        <f>IF(Scorecard!G21="None",Scorecard!F21,IF(Scorecard!G21="Partial",Scorecard!F21/2,""))</f>
        <v>1.5</v>
      </c>
    </row>
    <row r="28" spans="1:3" ht="14.25" customHeight="1" x14ac:dyDescent="0.3">
      <c r="A28" s="4" t="str">
        <f>Scorecard!A23</f>
        <v>C1</v>
      </c>
      <c r="B28" s="1" t="str">
        <f>IF(Scorecard!G23="None","NOT NARRATED — "&amp;Scorecard!B23&amp;" | Cover: "&amp;Scorecard!C23,IF(Scorecard!G23="Partial","INCOMPLETE — "&amp;Scorecard!B23&amp;" | Asked but not fully probed/confirmed.",""))</f>
        <v>INCOMPLETE — Land visited; ownership and acreage verified | Asked but not fully probed/confirmed.</v>
      </c>
      <c r="C28" s="20">
        <f>IF(Scorecard!G23="None",Scorecard!F23,IF(Scorecard!G23="Partial",Scorecard!F23/2,""))</f>
        <v>2</v>
      </c>
    </row>
    <row r="29" spans="1:3" ht="14.25" customHeight="1" x14ac:dyDescent="0.3">
      <c r="A29" s="4" t="str">
        <f>Scorecard!A24</f>
        <v>C2</v>
      </c>
      <c r="B29" s="1" t="str">
        <f>IF(Scorecard!G24="None","NOT NARRATED — "&amp;Scorecard!B24&amp;" | Cover: "&amp;Scorecard!C24,IF(Scorecard!G24="Partial","INCOMPLETE — "&amp;Scorecard!B24&amp;" | Asked but not fully probed/confirmed.",""))</f>
        <v>NOT NARRATED — Crops and yield verified with proof | Cover: Crops per season, what is standing/sown; mandi receipts (last 4 seasons avg) or sale proof examined; assessed agri income per model.</v>
      </c>
      <c r="C29" s="20">
        <f>IF(Scorecard!G24="None",Scorecard!F24,IF(Scorecard!G24="Partial",Scorecard!F24/2,""))</f>
        <v>3</v>
      </c>
    </row>
    <row r="30" spans="1:3" ht="14.25" customHeight="1" x14ac:dyDescent="0.3">
      <c r="A30" s="4" t="str">
        <f>Scorecard!A25</f>
        <v>C3</v>
      </c>
      <c r="B30" s="1" t="str">
        <f>IF(Scorecard!G25="None","NOT NARRATED — "&amp;Scorecard!B25&amp;" | Cover: "&amp;Scorecard!C25,IF(Scorecard!G25="Partial","INCOMPLETE — "&amp;Scorecard!B25&amp;" | Asked but not fully probed/confirmed.",""))</f>
        <v>NOT NARRATED — Cultivation genuineness + KCC noted | Cover: Actually cultivating? KCC limit/obligation noted. False/overstated agri claim = PD-RF-5.</v>
      </c>
      <c r="C30" s="20">
        <f>IF(Scorecard!G25="None",Scorecard!F25,IF(Scorecard!G25="Partial",Scorecard!F25/2,""))</f>
        <v>3</v>
      </c>
    </row>
    <row r="31" spans="1:3" ht="14.25" customHeight="1" x14ac:dyDescent="0.3">
      <c r="A31" s="4" t="str">
        <f>Scorecard!A27</f>
        <v>D1</v>
      </c>
      <c r="B31" s="1" t="str">
        <f>IF(Scorecard!G27="None","NOT NARRATED — "&amp;Scorecard!B27&amp;" | Cover: "&amp;Scorecard!C27,IF(Scorecard!G27="Partial","INCOMPLETE — "&amp;Scorecard!B27&amp;" | Asked but not fully probed/confirmed.",""))</f>
        <v>INCOMPLETE — All obligations enumerated with amounts | Asked but not fully probed/confirmed.</v>
      </c>
      <c r="C31" s="20">
        <f>IF(Scorecard!G27="None",Scorecard!F27,IF(Scorecard!G27="Partial",Scorecard!F27/2,""))</f>
        <v>2</v>
      </c>
    </row>
    <row r="32" spans="1:3" ht="14.25" customHeight="1" x14ac:dyDescent="0.3">
      <c r="A32" s="4" t="str">
        <f>Scorecard!A28</f>
        <v>D2</v>
      </c>
      <c r="B32" s="1" t="str">
        <f>IF(Scorecard!G28="None","NOT NARRATED — "&amp;Scorecard!B28&amp;" | Cover: "&amp;Scorecard!C28,IF(Scorecard!G28="Partial","INCOMPLETE — "&amp;Scorecard!B28&amp;" | Asked but not fully probed/confirmed.",""))</f>
        <v>INCOMPLETE — Family expenses and lifestyle assessed | Asked but not fully probed/confirmed.</v>
      </c>
      <c r="C32" s="20">
        <f>IF(Scorecard!G28="None",Scorecard!F28,IF(Scorecard!G28="Partial",Scorecard!F28/2,""))</f>
        <v>1.5</v>
      </c>
    </row>
    <row r="33" spans="1:3" ht="14.25" customHeight="1" x14ac:dyDescent="0.3">
      <c r="A33" s="4" t="str">
        <f>Scorecard!A29</f>
        <v>D3</v>
      </c>
      <c r="B33" s="1" t="str">
        <f>IF(Scorecard!G29="None","NOT NARRATED — "&amp;Scorecard!B29&amp;" | Cover: "&amp;Scorecard!C29,IF(Scorecard!G29="Partial","INCOMPLETE — "&amp;Scorecard!B29&amp;" | Asked but not fully probed/confirmed.",""))</f>
        <v>INCOMPLETE — Surplus arithmetic narrated | Asked but not fully probed/confirmed.</v>
      </c>
      <c r="C33" s="20">
        <f>IF(Scorecard!G29="None",Scorecard!F29,IF(Scorecard!G29="Partial",Scorecard!F29/2,""))</f>
        <v>1.5</v>
      </c>
    </row>
    <row r="34" spans="1:3" ht="14.25" customHeight="1" x14ac:dyDescent="0.3">
      <c r="A34" s="4" t="str">
        <f>Scorecard!A30</f>
        <v>D4</v>
      </c>
      <c r="B34" s="1" t="str">
        <f>IF(Scorecard!G30="None","NOT NARRATED — "&amp;Scorecard!B30&amp;" | Cover: "&amp;Scorecard!C30,IF(Scorecard!G30="Partial","INCOMPLETE — "&amp;Scorecard!B30&amp;" | Asked but not fully probed/confirmed.",""))</f>
        <v/>
      </c>
      <c r="C34" s="20" t="str">
        <f>IF(Scorecard!G30="None",Scorecard!F30,IF(Scorecard!G30="Partial",Scorecard!F30/2,""))</f>
        <v/>
      </c>
    </row>
    <row r="35" spans="1:3" ht="14.25" customHeight="1" x14ac:dyDescent="0.3">
      <c r="A35" s="4" t="str">
        <f>Scorecard!A32</f>
        <v>E1</v>
      </c>
      <c r="B35" s="1" t="str">
        <f>IF(Scorecard!G32="None","NOT NARRATED — "&amp;Scorecard!B32&amp;" | Cover: "&amp;Scorecard!C32,IF(Scorecard!G32="Partial","INCOMPLETE — "&amp;Scorecard!B32&amp;" | Asked but not fully probed/confirmed.",""))</f>
        <v>INCOMPLETE — Residence visited and described | Asked but not fully probed/confirmed.</v>
      </c>
      <c r="C35" s="20">
        <f>IF(Scorecard!G32="None",Scorecard!F32,IF(Scorecard!G32="Partial",Scorecard!F32/2,""))</f>
        <v>2</v>
      </c>
    </row>
    <row r="36" spans="1:3" ht="14.25" customHeight="1" x14ac:dyDescent="0.3">
      <c r="A36" s="4" t="str">
        <f>Scorecard!A33</f>
        <v>E2</v>
      </c>
      <c r="B36" s="1" t="str">
        <f>IF(Scorecard!G33="None","NOT NARRATED — "&amp;Scorecard!B33&amp;" | Cover: "&amp;Scorecard!C33,IF(Scorecard!G33="Partial","INCOMPLETE — "&amp;Scorecard!B33&amp;" | Asked but not fully probed/confirmed.",""))</f>
        <v>INCOMPLETE — Family and co-borrower interviewed | Asked but not fully probed/confirmed.</v>
      </c>
      <c r="C36" s="20">
        <f>IF(Scorecard!G33="None",Scorecard!F33,IF(Scorecard!G33="Partial",Scorecard!F33/2,""))</f>
        <v>2.5</v>
      </c>
    </row>
    <row r="37" spans="1:3" ht="14.25" customHeight="1" x14ac:dyDescent="0.3">
      <c r="A37" s="4" t="str">
        <f>Scorecard!A34</f>
        <v>E3</v>
      </c>
      <c r="B37" s="1" t="str">
        <f>IF(Scorecard!G34="None","NOT NARRATED — "&amp;Scorecard!B34&amp;" | Cover: "&amp;Scorecard!C34,IF(Scorecard!G34="Partial","INCOMPLETE — "&amp;Scorecard!B34&amp;" | Asked but not fully probed/confirmed.",""))</f>
        <v>NOT NARRATED — Residence-neighbour enquiry narrated | Cover: 2+ residence neighbours — names/contacts; reputation, conduct, any adverse information.</v>
      </c>
      <c r="C37" s="20">
        <f>IF(Scorecard!G34="None",Scorecard!F34,IF(Scorecard!G34="Partial",Scorecard!F34/2,""))</f>
        <v>4</v>
      </c>
    </row>
    <row r="38" spans="1:3" ht="14.25" customHeight="1" x14ac:dyDescent="0.3">
      <c r="A38" s="4" t="str">
        <f>Scorecard!A35</f>
        <v>E4</v>
      </c>
      <c r="B38" s="1" t="str">
        <f>IF(Scorecard!G35="None","NOT NARRATED — "&amp;Scorecard!B35&amp;" | Cover: "&amp;Scorecard!C35,IF(Scorecard!G35="Partial","INCOMPLETE — "&amp;Scorecard!B35&amp;" | Asked but not fully probed/confirmed.",""))</f>
        <v>NOT NARRATED — Customer education confirmed | Cover: Confirmed told: Business LAP with mortgage, indicative EMI, Clean Track Reward (last 3 EMIs waived), ZERO COMMISSION policy — Prodigee takes no commission and the borrower must NOT pay or entertain anyone who asks for one — Prodigee = trust &amp; integrity.</v>
      </c>
      <c r="C38" s="20">
        <f>IF(Scorecard!G35="None",Scorecard!F35,IF(Scorecard!G35="Partial",Scorecard!F35/2,""))</f>
        <v>3</v>
      </c>
    </row>
    <row r="39" spans="1:3" ht="14.25" customHeight="1" x14ac:dyDescent="0.3">
      <c r="A39" s="4" t="str">
        <f>Scorecard!A37</f>
        <v>F1</v>
      </c>
      <c r="B39" s="1" t="str">
        <f>IF(Scorecard!G37="None","NOT NARRATED — "&amp;Scorecard!B37&amp;" | Cover: "&amp;Scorecard!C37,IF(Scorecard!G37="Partial","INCOMPLETE — "&amp;Scorecard!B37&amp;" | Asked but not fully probed/confirmed.",""))</f>
        <v>INCOMPLETE — Collateral visited and physically described | Asked but not fully probed/confirmed.</v>
      </c>
      <c r="C39" s="20">
        <f>IF(Scorecard!G37="None",Scorecard!F37,IF(Scorecard!G37="Partial",Scorecard!F37/2,""))</f>
        <v>2</v>
      </c>
    </row>
    <row r="40" spans="1:3" ht="14.25" customHeight="1" x14ac:dyDescent="0.3">
      <c r="A40" s="4" t="str">
        <f>Scorecard!A38</f>
        <v>F2</v>
      </c>
      <c r="B40" s="1" t="str">
        <f>IF(Scorecard!G38="None","NOT NARRATED — "&amp;Scorecard!B38&amp;" | Cover: "&amp;Scorecard!C38,IF(Scorecard!G38="Partial","INCOMPLETE — "&amp;Scorecard!B38&amp;" | Asked but not fully probed/confirmed.",""))</f>
        <v>INCOMPLETE — Original papers seen; owner and title chain | Asked but not fully probed/confirmed.</v>
      </c>
      <c r="C40" s="20">
        <f>IF(Scorecard!G38="None",Scorecard!F38,IF(Scorecard!G38="Partial",Scorecard!F38/2,""))</f>
        <v>2</v>
      </c>
    </row>
    <row r="41" spans="1:3" ht="14.25" customHeight="1" x14ac:dyDescent="0.3">
      <c r="A41" s="4" t="str">
        <f>Scorecard!A39</f>
        <v>F3</v>
      </c>
      <c r="B41" s="1" t="str">
        <f>IF(Scorecard!G39="None","NOT NARRATED — "&amp;Scorecard!B39&amp;" | Cover: "&amp;Scorecard!C39,IF(Scorecard!G39="Partial","INCOMPLETE — "&amp;Scorecard!B39&amp;" | Asked but not fully probed/confirmed.",""))</f>
        <v>NOT NARRATED — Approximate market value with basis | Cover: Value estimate with basis (local rates, transactions, neighbour input); LTV sense; distress-value view (80% cap).</v>
      </c>
      <c r="C41" s="20">
        <f>IF(Scorecard!G39="None",Scorecard!F39,IF(Scorecard!G39="Partial",Scorecard!F39/2,""))</f>
        <v>3</v>
      </c>
    </row>
    <row r="42" spans="1:3" ht="14.25" customHeight="1" x14ac:dyDescent="0.3">
      <c r="A42" s="4" t="str">
        <f>Scorecard!A40</f>
        <v>F4</v>
      </c>
      <c r="B42" s="1" t="str">
        <f>IF(Scorecard!G40="None","NOT NARRATED — "&amp;Scorecard!B40&amp;" | Cover: "&amp;Scorecard!C40,IF(Scorecard!G40="Partial","INCOMPLETE — "&amp;Scorecard!B40&amp;" | Asked but not fully probed/confirmed.",""))</f>
        <v>NOT NARRATED — Risk screen stated | Cover: Lien-free/no-dispute, not ST/tribal land, not near HT line/riverbank/encroachment, no negative zone, no demolition risk. Issue = PD-RF-6.</v>
      </c>
      <c r="C42" s="20">
        <f>IF(Scorecard!G40="None",Scorecard!F40,IF(Scorecard!G40="Partial",Scorecard!F40/2,""))</f>
        <v>3</v>
      </c>
    </row>
    <row r="43" spans="1:3" ht="14.25" customHeight="1" x14ac:dyDescent="0.3">
      <c r="A43" s="4" t="str">
        <f>Scorecard!A42</f>
        <v>G1</v>
      </c>
      <c r="B43" s="1" t="str">
        <f>IF(Scorecard!G42="None","NOT NARRATED — "&amp;Scorecard!B42&amp;" | Cover: "&amp;Scorecard!C42,IF(Scorecard!G42="Partial","INCOMPLETE — "&amp;Scorecard!B42&amp;" | Asked but not fully probed/confirmed.",""))</f>
        <v>INCOMPLETE — End use verified on ground | Asked but not fully probed/confirmed.</v>
      </c>
      <c r="C43" s="20">
        <f>IF(Scorecard!G42="None",Scorecard!F42,IF(Scorecard!G42="Partial",Scorecard!F42/2,""))</f>
        <v>1.5</v>
      </c>
    </row>
    <row r="44" spans="1:3" ht="14.25" customHeight="1" x14ac:dyDescent="0.3">
      <c r="A44" s="4" t="str">
        <f>Scorecard!A43</f>
        <v>G2</v>
      </c>
      <c r="B44" s="1" t="str">
        <f>IF(Scorecard!G43="None","NOT NARRATED — "&amp;Scorecard!B43&amp;" | Cover: "&amp;Scorecard!C43,IF(Scorecard!G43="Partial","INCOMPLETE — "&amp;Scorecard!B43&amp;" | Asked but not fully probed/confirmed.",""))</f>
        <v>INCOMPLETE — Overall credit view | Asked but not fully probed/confirmed.</v>
      </c>
      <c r="C44" s="20">
        <f>IF(Scorecard!G43="None",Scorecard!F43,IF(Scorecard!G43="Partial",Scorecard!F43/2,""))</f>
        <v>2</v>
      </c>
    </row>
    <row r="45" spans="1:3" ht="14.25" customHeight="1" x14ac:dyDescent="0.3">
      <c r="A45" s="4" t="str">
        <f>Scorecard!A44</f>
        <v>G3</v>
      </c>
      <c r="B45" s="1" t="str">
        <f>IF(Scorecard!G44="None","NOT NARRATED — "&amp;Scorecard!B44&amp;" | Cover: "&amp;Scorecard!C44,IF(Scorecard!G44="Partial","INCOMPLETE — "&amp;Scorecard!B44&amp;" | Asked but not fully probed/confirmed.",""))</f>
        <v>NOT NARRATED — Clear recommendation with reasons | Cover: Recommend / recommend-with-conditions / reject — with specific reasons for the PD Report and CAM. A reasoned negative recommendation scores Full. Borrower told: decision will be taken soon; if any further documents are needed, the BCM will call.</v>
      </c>
      <c r="C45" s="20">
        <f>IF(Scorecard!G44="None",Scorecard!F44,IF(Scorecard!G44="Partial",Scorecard!F44/2,""))</f>
        <v>3</v>
      </c>
    </row>
    <row r="46" spans="1:3" ht="14.25" customHeight="1" x14ac:dyDescent="0.3">
      <c r="A46" s="4" t="str">
        <f>Scorecard!A46</f>
        <v>H1</v>
      </c>
      <c r="B46" s="1" t="str">
        <f>IF(Scorecard!G46="None","NOT NARRATED — "&amp;Scorecard!B46&amp;" | Cover: "&amp;Scorecard!C46,IF(Scorecard!G46="Partial","INCOMPLETE — "&amp;Scorecard!B46&amp;" | Asked but not fully probed/confirmed.",""))</f>
        <v/>
      </c>
      <c r="C46" s="20" t="str">
        <f>IF(Scorecard!G46="None",Scorecard!F46,IF(Scorecard!G46="Partial",Scorecard!F46/2,""))</f>
        <v/>
      </c>
    </row>
    <row r="47" spans="1:3" ht="14.25" customHeight="1" x14ac:dyDescent="0.3">
      <c r="A47" s="4" t="str">
        <f>Scorecard!A47</f>
        <v>H2</v>
      </c>
      <c r="B47" s="1" t="str">
        <f>IF(Scorecard!G47="None","NOT NARRATED — "&amp;Scorecard!B47&amp;" | Cover: "&amp;Scorecard!C47,IF(Scorecard!G47="Partial","INCOMPLETE — "&amp;Scorecard!B47&amp;" | Asked but not fully probed/confirmed.",""))</f>
        <v>NOT NARRATED — Duration and audibility | Cover: 15–30 minutes, single continuous recording, ≥90% intelligible.</v>
      </c>
      <c r="C47" s="20">
        <f>IF(Scorecard!G47="None",Scorecard!F47,IF(Scorecard!G47="Partial",Scorecard!F47/2,""))</f>
        <v>2</v>
      </c>
    </row>
    <row r="48" spans="1:3" ht="14.25" customHeight="1" x14ac:dyDescent="0.3">
      <c r="A48" s="4" t="str">
        <f>Scorecard!A48</f>
        <v>H3</v>
      </c>
      <c r="B48" s="1" t="str">
        <f>IF(Scorecard!G48="None","NOT NARRATED — "&amp;Scorecard!B48&amp;" | Cover: "&amp;Scorecard!C48,IF(Scorecard!G48="Partial","INCOMPLETE — "&amp;Scorecard!B48&amp;" | Asked but not fully probed/confirmed.",""))</f>
        <v/>
      </c>
      <c r="C48" s="20" t="str">
        <f>IF(Scorecard!G48="None",Scorecard!F48,IF(Scorecard!G48="Partial",Scorecard!F48/2,""))</f>
        <v/>
      </c>
    </row>
    <row r="49" spans="1:3" ht="14.25" customHeight="1" x14ac:dyDescent="0.3">
      <c r="A49" s="28"/>
      <c r="B49" s="18" t="s">
        <v>373</v>
      </c>
      <c r="C49" s="24">
        <f>SUM(C18:C48)</f>
        <v>57</v>
      </c>
    </row>
    <row r="50" spans="1:3" ht="14.25" customHeight="1" x14ac:dyDescent="0.3">
      <c r="A50" s="6"/>
      <c r="B50" s="6"/>
      <c r="C50" s="6"/>
    </row>
    <row r="51" spans="1:3" ht="14.25" customHeight="1" x14ac:dyDescent="0.3">
      <c r="A51" s="6"/>
      <c r="B51" s="6"/>
      <c r="C51" s="6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zoomScaleNormal="100" workbookViewId="0">
      <selection activeCell="B23" sqref="B23"/>
    </sheetView>
  </sheetViews>
  <sheetFormatPr defaultColWidth="8.6640625" defaultRowHeight="14.4" x14ac:dyDescent="0.3"/>
  <cols>
    <col min="1" max="1" width="25" style="29" customWidth="1"/>
    <col min="2" max="2" width="86.88671875" style="29" customWidth="1"/>
    <col min="3" max="3" width="57.88671875" style="29" bestFit="1" customWidth="1"/>
    <col min="4" max="4" width="8.6640625" style="29" customWidth="1"/>
    <col min="5" max="16384" width="8.6640625" style="29"/>
  </cols>
  <sheetData>
    <row r="1" spans="1:3" ht="15" customHeight="1" x14ac:dyDescent="0.3">
      <c r="A1" s="74" t="s">
        <v>374</v>
      </c>
      <c r="B1" s="75"/>
      <c r="C1" s="75"/>
    </row>
    <row r="3" spans="1:3" ht="14.25" customHeight="1" x14ac:dyDescent="0.3">
      <c r="A3" s="30" t="s">
        <v>375</v>
      </c>
      <c r="B3" s="30" t="s">
        <v>376</v>
      </c>
      <c r="C3" s="30" t="s">
        <v>377</v>
      </c>
    </row>
    <row r="4" spans="1:3" ht="27.75" customHeight="1" x14ac:dyDescent="0.3">
      <c r="A4" s="1" t="s">
        <v>378</v>
      </c>
      <c r="B4" s="1" t="s">
        <v>379</v>
      </c>
      <c r="C4" s="1" t="s">
        <v>380</v>
      </c>
    </row>
    <row r="5" spans="1:3" ht="14.25" customHeight="1" x14ac:dyDescent="0.3">
      <c r="A5" s="1" t="s">
        <v>381</v>
      </c>
      <c r="B5" s="1" t="s">
        <v>382</v>
      </c>
      <c r="C5" s="1" t="s">
        <v>383</v>
      </c>
    </row>
    <row r="6" spans="1:3" ht="14.25" customHeight="1" x14ac:dyDescent="0.3">
      <c r="A6" s="1" t="s">
        <v>384</v>
      </c>
      <c r="B6" s="1" t="s">
        <v>385</v>
      </c>
      <c r="C6" s="1" t="s">
        <v>386</v>
      </c>
    </row>
    <row r="7" spans="1:3" ht="14.25" customHeight="1" x14ac:dyDescent="0.3">
      <c r="A7" s="1" t="s">
        <v>387</v>
      </c>
      <c r="B7" s="1" t="s">
        <v>388</v>
      </c>
      <c r="C7" s="1" t="s">
        <v>389</v>
      </c>
    </row>
    <row r="8" spans="1:3" ht="27.75" customHeight="1" x14ac:dyDescent="0.3">
      <c r="A8" s="1" t="s">
        <v>390</v>
      </c>
      <c r="B8" s="1" t="s">
        <v>391</v>
      </c>
      <c r="C8" s="1" t="s">
        <v>392</v>
      </c>
    </row>
    <row r="9" spans="1:3" ht="27.75" customHeight="1" x14ac:dyDescent="0.3">
      <c r="A9" s="1" t="s">
        <v>393</v>
      </c>
      <c r="B9" s="1" t="s">
        <v>394</v>
      </c>
      <c r="C9" s="1" t="s">
        <v>395</v>
      </c>
    </row>
    <row r="10" spans="1:3" ht="27.75" customHeight="1" x14ac:dyDescent="0.3">
      <c r="A10" s="1" t="s">
        <v>396</v>
      </c>
      <c r="B10" s="1" t="s">
        <v>397</v>
      </c>
      <c r="C10" s="1" t="s">
        <v>398</v>
      </c>
    </row>
    <row r="11" spans="1:3" ht="27.75" customHeight="1" x14ac:dyDescent="0.3">
      <c r="A11" s="1" t="s">
        <v>399</v>
      </c>
      <c r="B11" s="1" t="s">
        <v>400</v>
      </c>
      <c r="C11" s="1" t="s">
        <v>401</v>
      </c>
    </row>
    <row r="13" spans="1:3" ht="14.25" customHeight="1" x14ac:dyDescent="0.3">
      <c r="A13" s="31" t="s">
        <v>402</v>
      </c>
      <c r="B13" s="32"/>
      <c r="C13" s="32"/>
    </row>
    <row r="14" spans="1:3" ht="14.25" customHeight="1" x14ac:dyDescent="0.3">
      <c r="A14" s="30" t="s">
        <v>403</v>
      </c>
      <c r="B14" s="30" t="s">
        <v>404</v>
      </c>
      <c r="C14" s="30" t="s">
        <v>405</v>
      </c>
    </row>
    <row r="15" spans="1:3" ht="14.25" customHeight="1" x14ac:dyDescent="0.3">
      <c r="A15" s="33" t="s">
        <v>406</v>
      </c>
      <c r="B15" s="33" t="s">
        <v>407</v>
      </c>
      <c r="C15" s="33" t="s">
        <v>408</v>
      </c>
    </row>
    <row r="16" spans="1:3" ht="14.25" customHeight="1" x14ac:dyDescent="0.3">
      <c r="A16" s="33" t="s">
        <v>409</v>
      </c>
      <c r="B16" s="33" t="s">
        <v>410</v>
      </c>
      <c r="C16" s="33" t="s">
        <v>411</v>
      </c>
    </row>
    <row r="17" spans="1:3" ht="14.25" customHeight="1" x14ac:dyDescent="0.3">
      <c r="A17" s="33" t="s">
        <v>412</v>
      </c>
      <c r="B17" s="33" t="s">
        <v>413</v>
      </c>
      <c r="C17" s="33" t="s">
        <v>414</v>
      </c>
    </row>
    <row r="18" spans="1:3" ht="14.25" customHeight="1" x14ac:dyDescent="0.3">
      <c r="A18" s="33" t="s">
        <v>415</v>
      </c>
      <c r="B18" s="33" t="s">
        <v>416</v>
      </c>
      <c r="C18" s="33" t="s">
        <v>417</v>
      </c>
    </row>
    <row r="19" spans="1:3" ht="14.25" customHeight="1" x14ac:dyDescent="0.3">
      <c r="A19" s="33" t="s">
        <v>418</v>
      </c>
      <c r="B19" s="33" t="s">
        <v>419</v>
      </c>
      <c r="C19" s="33" t="s">
        <v>420</v>
      </c>
    </row>
    <row r="21" spans="1:3" ht="14.25" customHeight="1" x14ac:dyDescent="0.3">
      <c r="A21" s="34" t="s">
        <v>421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Scorecard</vt:lpstr>
      <vt:lpstr>Call Summary</vt:lpstr>
      <vt:lpstr>Gap &amp; Coaching Report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Goel</cp:lastModifiedBy>
  <cp:revision>0</cp:revision>
  <dcterms:created xsi:type="dcterms:W3CDTF">2026-08-09T08:04:17Z</dcterms:created>
  <dcterms:modified xsi:type="dcterms:W3CDTF">2026-08-20T05:00:43Z</dcterms:modified>
  <dc:language>en-US</dc:language>
</cp:coreProperties>
</file>