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mitg\Desktop\Actual Evaluation Framework\RCM Audio PD\"/>
    </mc:Choice>
  </mc:AlternateContent>
  <xr:revisionPtr revIDLastSave="0" documentId="8_{85CD3001-7588-435F-8F73-429666DB8511}" xr6:coauthVersionLast="47" xr6:coauthVersionMax="47" xr10:uidLastSave="{00000000-0000-0000-0000-000000000000}"/>
  <bookViews>
    <workbookView xWindow="-108" yWindow="-108" windowWidth="23256" windowHeight="12456" tabRatio="500" activeTab="1" xr2:uid="{00000000-000D-0000-FFFF-FFFF00000000}"/>
  </bookViews>
  <sheets>
    <sheet name="Read Me" sheetId="1" r:id="rId1"/>
    <sheet name="Scorecard" sheetId="2" r:id="rId2"/>
    <sheet name="Call Summary" sheetId="3" r:id="rId3"/>
    <sheet name="Gap &amp; Coaching Report" sheetId="4" r:id="rId4"/>
    <sheet name="Reference List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4" l="1"/>
  <c r="B57" i="4"/>
  <c r="A57" i="4"/>
  <c r="C56" i="4"/>
  <c r="B56" i="4"/>
  <c r="A56" i="4"/>
  <c r="C55" i="4"/>
  <c r="B55" i="4"/>
  <c r="A55" i="4"/>
  <c r="C54" i="4"/>
  <c r="B54" i="4"/>
  <c r="A54" i="4"/>
  <c r="C53" i="4"/>
  <c r="B53" i="4"/>
  <c r="A53" i="4"/>
  <c r="C52" i="4"/>
  <c r="B52" i="4"/>
  <c r="A52" i="4"/>
  <c r="C51" i="4"/>
  <c r="B51" i="4"/>
  <c r="A51" i="4"/>
  <c r="C50" i="4"/>
  <c r="B50" i="4"/>
  <c r="A50" i="4"/>
  <c r="C49" i="4"/>
  <c r="B49" i="4"/>
  <c r="A49" i="4"/>
  <c r="C48" i="4"/>
  <c r="B48" i="4"/>
  <c r="A48" i="4"/>
  <c r="C47" i="4"/>
  <c r="B47" i="4"/>
  <c r="A47" i="4"/>
  <c r="C46" i="4"/>
  <c r="B46" i="4"/>
  <c r="A46" i="4"/>
  <c r="C45" i="4"/>
  <c r="B45" i="4"/>
  <c r="A45" i="4"/>
  <c r="C44" i="4"/>
  <c r="B44" i="4"/>
  <c r="A44" i="4"/>
  <c r="C43" i="4"/>
  <c r="B43" i="4"/>
  <c r="A43" i="4"/>
  <c r="C42" i="4"/>
  <c r="B42" i="4"/>
  <c r="A42" i="4"/>
  <c r="C41" i="4"/>
  <c r="B41" i="4"/>
  <c r="A41" i="4"/>
  <c r="C40" i="4"/>
  <c r="B40" i="4"/>
  <c r="A40" i="4"/>
  <c r="C39" i="4"/>
  <c r="B39" i="4"/>
  <c r="A39" i="4"/>
  <c r="C38" i="4"/>
  <c r="B38" i="4"/>
  <c r="A38" i="4"/>
  <c r="C37" i="4"/>
  <c r="B37" i="4"/>
  <c r="A37" i="4"/>
  <c r="C36" i="4"/>
  <c r="B36" i="4"/>
  <c r="A36" i="4"/>
  <c r="C35" i="4"/>
  <c r="B35" i="4"/>
  <c r="A35" i="4"/>
  <c r="C34" i="4"/>
  <c r="B34" i="4"/>
  <c r="A34" i="4"/>
  <c r="C33" i="4"/>
  <c r="B33" i="4"/>
  <c r="A33" i="4"/>
  <c r="C32" i="4"/>
  <c r="B32" i="4"/>
  <c r="A32" i="4"/>
  <c r="C31" i="4"/>
  <c r="B31" i="4"/>
  <c r="A31" i="4"/>
  <c r="C30" i="4"/>
  <c r="B30" i="4"/>
  <c r="A30" i="4"/>
  <c r="C29" i="4"/>
  <c r="B29" i="4"/>
  <c r="A29" i="4"/>
  <c r="C28" i="4"/>
  <c r="B28" i="4"/>
  <c r="A28" i="4"/>
  <c r="C27" i="4"/>
  <c r="B27" i="4"/>
  <c r="A27" i="4"/>
  <c r="C26" i="4"/>
  <c r="B26" i="4"/>
  <c r="A26" i="4"/>
  <c r="C25" i="4"/>
  <c r="B25" i="4"/>
  <c r="A25" i="4"/>
  <c r="C24" i="4"/>
  <c r="B24" i="4"/>
  <c r="A24" i="4"/>
  <c r="C23" i="4"/>
  <c r="B23" i="4"/>
  <c r="A23" i="4"/>
  <c r="C22" i="4"/>
  <c r="B22" i="4"/>
  <c r="A22" i="4"/>
  <c r="C21" i="4"/>
  <c r="B21" i="4"/>
  <c r="A21" i="4"/>
  <c r="C20" i="4"/>
  <c r="B20" i="4"/>
  <c r="A20" i="4"/>
  <c r="C19" i="4"/>
  <c r="C58" i="4" s="1"/>
  <c r="B19" i="4"/>
  <c r="A19" i="4"/>
  <c r="C16" i="4"/>
  <c r="B16" i="4"/>
  <c r="A16" i="4"/>
  <c r="C15" i="4"/>
  <c r="B15" i="4"/>
  <c r="A15" i="4"/>
  <c r="C14" i="4"/>
  <c r="B14" i="4"/>
  <c r="A14" i="4"/>
  <c r="C13" i="4"/>
  <c r="B13" i="4"/>
  <c r="A13" i="4"/>
  <c r="C12" i="4"/>
  <c r="B12" i="4"/>
  <c r="A12" i="4"/>
  <c r="C11" i="4"/>
  <c r="B11" i="4"/>
  <c r="A11" i="4"/>
  <c r="C10" i="4"/>
  <c r="B10" i="4"/>
  <c r="A10" i="4"/>
  <c r="C9" i="4"/>
  <c r="B9" i="4"/>
  <c r="A9" i="4"/>
  <c r="C8" i="4"/>
  <c r="B8" i="4"/>
  <c r="A8" i="4"/>
  <c r="E87" i="2"/>
  <c r="E89" i="2" s="1"/>
  <c r="G7" i="3" s="1"/>
  <c r="D72" i="2"/>
  <c r="D71" i="2"/>
  <c r="D70" i="2"/>
  <c r="D69" i="2"/>
  <c r="F69" i="2" s="1"/>
  <c r="D68" i="2"/>
  <c r="F68" i="2" s="1"/>
  <c r="D67" i="2"/>
  <c r="F67" i="2" s="1"/>
  <c r="D66" i="2"/>
  <c r="F66" i="2" s="1"/>
  <c r="D65" i="2"/>
  <c r="F65" i="2" s="1"/>
  <c r="D64" i="2"/>
  <c r="F64" i="2" s="1"/>
  <c r="D63" i="2"/>
  <c r="F63" i="2" s="1"/>
  <c r="H59" i="2"/>
  <c r="H58" i="2"/>
  <c r="H57" i="2"/>
  <c r="E72" i="2" s="1"/>
  <c r="H55" i="2"/>
  <c r="H54" i="2"/>
  <c r="H53" i="2"/>
  <c r="H52" i="2"/>
  <c r="E71" i="2" s="1"/>
  <c r="H50" i="2"/>
  <c r="H49" i="2"/>
  <c r="H48" i="2"/>
  <c r="E70" i="2" s="1"/>
  <c r="H46" i="2"/>
  <c r="H45" i="2"/>
  <c r="H44" i="2"/>
  <c r="E69" i="2" s="1"/>
  <c r="H42" i="2"/>
  <c r="H41" i="2"/>
  <c r="H40" i="2"/>
  <c r="E68" i="2" s="1"/>
  <c r="H38" i="2"/>
  <c r="H37" i="2"/>
  <c r="H36" i="2"/>
  <c r="H35" i="2"/>
  <c r="E67" i="2" s="1"/>
  <c r="H33" i="2"/>
  <c r="H32" i="2"/>
  <c r="H31" i="2"/>
  <c r="H30" i="2"/>
  <c r="H29" i="2"/>
  <c r="H28" i="2"/>
  <c r="E66" i="2" s="1"/>
  <c r="H26" i="2"/>
  <c r="H25" i="2"/>
  <c r="H24" i="2"/>
  <c r="E65" i="2" s="1"/>
  <c r="H22" i="2"/>
  <c r="H21" i="2"/>
  <c r="H20" i="2"/>
  <c r="H19" i="2"/>
  <c r="H18" i="2"/>
  <c r="E64" i="2" s="1"/>
  <c r="H16" i="2"/>
  <c r="H15" i="2"/>
  <c r="H14" i="2"/>
  <c r="H13" i="2"/>
  <c r="H12" i="2"/>
  <c r="E63" i="2" s="1"/>
  <c r="D54" i="3"/>
  <c r="E54" i="3" s="1"/>
  <c r="E48" i="3"/>
  <c r="D41" i="3"/>
  <c r="D26" i="3"/>
  <c r="C26" i="3"/>
  <c r="F25" i="3"/>
  <c r="E25" i="3"/>
  <c r="F24" i="3"/>
  <c r="E24" i="3"/>
  <c r="F23" i="3"/>
  <c r="E23" i="3"/>
  <c r="F22" i="3"/>
  <c r="E22" i="3"/>
  <c r="F21" i="3"/>
  <c r="E21" i="3"/>
  <c r="F20" i="3"/>
  <c r="E20" i="3"/>
  <c r="G8" i="3"/>
  <c r="C8" i="3"/>
  <c r="C7" i="3"/>
  <c r="G6" i="3"/>
  <c r="C6" i="3"/>
  <c r="C5" i="3"/>
  <c r="C4" i="3"/>
  <c r="F26" i="3" l="1"/>
  <c r="E26" i="3"/>
  <c r="F72" i="2"/>
  <c r="F71" i="2"/>
  <c r="F70" i="2"/>
  <c r="E86" i="2"/>
  <c r="C5" i="4" l="1"/>
  <c r="C4" i="4"/>
  <c r="E88" i="2"/>
  <c r="G5" i="3" s="1"/>
  <c r="G4" i="3"/>
</calcChain>
</file>

<file path=xl/sharedStrings.xml><?xml version="1.0" encoding="utf-8"?>
<sst xmlns="http://schemas.openxmlformats.org/spreadsheetml/2006/main" count="577" uniqueCount="486">
  <si>
    <t>AUDIO PD (RCM TELE-PD) — CALL SUMMARY FOR MANAGEMENT · Business Loan Against Property</t>
  </si>
  <si>
    <t>One-page digest of the RCM tele-PD, filled by the Evaluator (AI Agent / Reviewer) so management need not hear the recording. The Audio PD is the LAST check before sanction and the RCM holds the CAM, BCM PD Report, bureau and AA output on the call — so this summary is a RECONCILIATION: what the customer SAID versus what the FILE says, under three heads (Income vs CAM · Obligations vs CAM/Bureau · Family &amp; Co-Borrower vs CAM), followed by verification checks, capacity &amp; intent, and — the key output — the CAM CHANGES this call forces before sanction. Fill ONLY the yellow cells; deviations, tolerance checks, totals, score and verdict compute automatically. Every figure must be one actually SPOKEN on the call — quote the timestamp; not asked/answered = write "Not covered".</t>
  </si>
  <si>
    <t>Application ID</t>
  </si>
  <si>
    <t>Score (/100)</t>
  </si>
  <si>
    <t>Customer Name</t>
  </si>
  <si>
    <t>Grade Band</t>
  </si>
  <si>
    <t>RCM Name</t>
  </si>
  <si>
    <t>Knock-Out Status</t>
  </si>
  <si>
    <t>Date of Audio PD</t>
  </si>
  <si>
    <t>Final Verdict</t>
  </si>
  <si>
    <t>Loan Amount as per CAM (Rs.)</t>
  </si>
  <si>
    <t>Recording Duration (min)</t>
  </si>
  <si>
    <t>Auto-filled from the Scorecard sheet — do not type here. Grey cells show the evaluation outcome for this same call.</t>
  </si>
  <si>
    <t>CALL IN BRIEF — EXECUTIVE GIST (3–5 lines)</t>
  </si>
  <si>
    <t>Who the customer is · loan and purpose · what the call CONFIRMED against the CAM and where it DIFFERED · red flags · the RCM's conclusion (approve / conditions / return to BCM / reject) and why.</t>
  </si>
  <si>
    <t>Male borrower (~40; name not clearly audible) runs a kirana/shop business he has kept since his father's time, works alone, and farms two crops a year (soyabean among them) — MP region; RCM 'Rahul' calls from Bhopal. He confirms the Prodigee file himself and volunteers the amount — Rs.5.5 lakh — for the shop (working capital); he clearly accepts that the property will be mortgaged with original registry deposited. Two loans surface: a TVS personal loan (~2 months left) and a running tractor loan — no late/bounce claimed; one recent enquiry elsewhere (outcome: did not proceed). Collateral is the ancestral house in THREE brothers' names — all three are to join, and the RCM has demanded the father's death certificate and vanshavali/batwara. Customer estimates the property at ~Rs.25–35 lakh and offers ~Rs.7–8k comfortable EMI. The call is warm and non-leading BUT invalid on process: 7m52s (&lt;10-min mandatory), no recording disclosure, and zero-commission/disclosure block skipped entirely. CAM/bureau/AA were not provided to the evaluator, so no file reconciliation was possible.</t>
  </si>
  <si>
    <t>HEAD 1 — INCOME: CALL vs CAM (every income stream, customer-stated vs BCM-assessed)</t>
  </si>
  <si>
    <t>One row per income stream the CAM counts PLUS any stream surfaced on the call. Customer states figures first; deviation beyond ±20% of CAM assessed income = RF-4 → return CAM to BCM for reassessment.</t>
  </si>
  <si>
    <t>#</t>
  </si>
  <si>
    <t>Income stream / business (and whose — borrower / family member)</t>
  </si>
  <si>
    <t>Stated on call (Rs./month)</t>
  </si>
  <si>
    <t>CAM assessed (Rs./month)</t>
  </si>
  <si>
    <t>Deviation (auto)</t>
  </si>
  <si>
    <t>Within ±20%? (auto → RF-4)</t>
  </si>
  <si>
    <t>Proof / references cited on call (parchi, AA, supplier names)</t>
  </si>
  <si>
    <t>Timestamp + remarks (seasonality, scale checks)</t>
  </si>
  <si>
    <t>Kirana / shop business (borrower — sole operator, father's-era shop)</t>
  </si>
  <si>
    <t>3:09–3:35 UPI collections cited</t>
  </si>
  <si>
    <t>0:46–2:20; monthly sale/margin figures not intelligibly stated on record — re-elicit</t>
  </si>
  <si>
    <t>Agriculture — two crops/year incl. soyabean (household)</t>
  </si>
  <si>
    <t>None cited</t>
  </si>
  <si>
    <t>2:20–3:16; land size/owner and annual income not on record</t>
  </si>
  <si>
    <t>TOTAL MONTHLY INCOME (Rs.)</t>
  </si>
  <si>
    <t>Incomes surfaced on call that the BCM / CAM MISSED — must be assessed &amp; included in final CAM (or "None")</t>
  </si>
  <si>
    <t>Cannot determine — CAM not provided to evaluator. Streams heard on call: shop income + agriculture (above). Nothing else surfaced (household incomes not probed by name — gap).</t>
  </si>
  <si>
    <t>References taken on call (2–3 names / numbers — supplier, buyer, thekedar, society)</t>
  </si>
  <si>
    <t>NONE — no supplier/buyer/society references taken.</t>
  </si>
  <si>
    <t>AA checks done on call (bounce? large credits/debits? UPI volume?) + AA completeness — all accounts covered / pulled via OTP?</t>
  </si>
  <si>
    <t>Two AA-style checks on call: EMI-bounce question (2:44–3:09, answer: no) and UPI volume/customer count (3:09–3:35). AA completeness (all accounts) NOT asked. AA output not provided to evaluator.</t>
  </si>
  <si>
    <t>RCM's view of the BCM assessment (conservative / aggressive / reasonable) + anything critical missed</t>
  </si>
  <si>
    <t>NOT STATED on record — and CAM not provided, so evaluator cannot form the comparison either.</t>
  </si>
  <si>
    <t>HEAD 2 — OBLIGATIONS: CALL vs CAM vs BUREAU (every loan / EMI acknowledged on the call)</t>
  </si>
  <si>
    <t>One row per obligation spoken on the call — bank/NBFC, MFI/group (incl. in wife's name), KCC, society/PACS, gold, hand/market loans. A loan disclosed on call but NOT obligated in the CAM = RF-5 → re-run FOIR.</t>
  </si>
  <si>
    <t>Lender / loan type</t>
  </si>
  <si>
    <t>In whose name</t>
  </si>
  <si>
    <t>Monthly EMI stated on call (Rs.)</t>
  </si>
  <si>
    <t>In CAM? (Yes / No)</t>
  </si>
  <si>
    <t>In bureau? (Yes / No)</t>
  </si>
  <si>
    <t>Overdue / bounce? — explanation given</t>
  </si>
  <si>
    <t>Timestamp + remarks</t>
  </si>
  <si>
    <t>Personal loan — TVS</t>
  </si>
  <si>
    <t>Borrower</t>
  </si>
  <si>
    <t>Unknown — CAM not provided</t>
  </si>
  <si>
    <t>Unknown — bureau not provided</t>
  </si>
  <si>
    <t>No late/bounce per customer (2:44–3:09)</t>
  </si>
  <si>
    <t>3:36–4:02; ~2 months remaining; EMI figure not intelligible</t>
  </si>
  <si>
    <t>Tractor loan (lender not named)</t>
  </si>
  <si>
    <t>Borrower/household</t>
  </si>
  <si>
    <t>No late/bounce per customer (4:24–4:49)</t>
  </si>
  <si>
    <t>4:24–4:49; EMI not stated</t>
  </si>
  <si>
    <t>TOTAL MONTHLY EMIs AS ACKNOWLEDGED ON CALL (Rs.)</t>
  </si>
  <si>
    <t>Reconcile against CAM Existing Loans (A14-K17) and every active bureau tradeline</t>
  </si>
  <si>
    <t>Loan disclosed on call NOT in the CAM? (details → RF-5 — re-run FOIR; CCRO if breached / or "None")</t>
  </si>
  <si>
    <t>Cannot determine — CAM not provided. Both loans above MUST be reconciled against CAM Existing Loans; any one missing = RF-5 → re-run FOIR.</t>
  </si>
  <si>
    <t>Specific probes all asked — MFI/group, KCC, society/PACS, gold, hand-udhaar, household-wide? (YES / gaps)</t>
  </si>
  <si>
    <t>GAPS — samooh/group (MFI) asked (~3:44–4:12, negative); KCC, society/PACS, gold, haath-udhaar and wife's-name loans NOT individually asked.</t>
  </si>
  <si>
    <t>Bureau enquiries (last 3 months) probed — lender, purpose, OUTCOME of each (or "None on bureau")</t>
  </si>
  <si>
    <t>YES — asked (4:03–4:23): one application in the last 2–3 months (lender name garbled — Muthoot?); outcome: did not proceed. Verify against bureau enquiry list (not provided).</t>
  </si>
  <si>
    <t>EMI late / bounce / overdue acknowledged by customer + explanation</t>
  </si>
  <si>
    <t>Asked for both loans — customer says no late, no bounce (2:44–3:09; 4:24–4:49). Bureau DPD strings not available to evaluator to confront.</t>
  </si>
  <si>
    <t>HEAD 3 — FAMILY &amp; CO-BORROWER vs CAM</t>
  </si>
  <si>
    <t>Family members stated on call (no.) vs CAM family table (no.)</t>
  </si>
  <si>
    <t>Dependents and monthly household expense stated on call (Rs.) — vs CAM figure</t>
  </si>
  <si>
    <t>Not elicited as figures — dependants and monthly household expense missing (only 'ghar-kharcha nikaal ke' framing inside the EMI question, 5:46–6:12).</t>
  </si>
  <si>
    <t>Co-borrower(s) spoken to ON this call? (or separate call logged) — aware of loan, amount &amp; purpose? (female co-borrower mandatory — Policy B.4)</t>
  </si>
  <si>
    <t>NO — no co-borrower on this call and no separate call logged. Three brothers (property co-owners) are to join per RCM (4:50–5:13) but their awareness was not tested; female co-borrower (Policy B.4) not addressed.</t>
  </si>
  <si>
    <t xml:space="preserve">Property owner &amp; legal-heir structure confirmed — kagaz kiske naam; heirs' share; all in loan or NOC? </t>
  </si>
  <si>
    <t>YES — strongest part of the call: ancestral house in three brothers' names; all three to join the loan; father deceased — death certificate + vanshavali/batwara demanded (4:50–5:13; 6:59–7:35).</t>
  </si>
  <si>
    <t>VERIFICATION &amp; INTEGRITY CHECKS (call vs file)</t>
  </si>
  <si>
    <t>Loan amount STATED by customer (Rs.) — unprompted — vs CAM (auto)</t>
  </si>
  <si>
    <t>BCM field visit confirmed by customer — business AND residence physically seen? (NO / incomplete → RF-12 — return file)</t>
  </si>
  <si>
    <t>NOT demonstrably confirmed — possible 'visit' reference in the garbled opening (0:05–0:20); business-AND-residence coverage not verified on record. Manual listen advised; if unconfirmed → RF-12 check with BCM.</t>
  </si>
  <si>
    <t>End use stated in customer's own words + matches End-Use Declaration / CAM? (mismatch → RF-3) · restricted-use screen clear? (Gate K6)</t>
  </si>
  <si>
    <t>End use: shop/kirana working capital, stated in customer's own words (1:34–1:59). End-Use Declaration/CAM not provided for match. Restricted screen: largely clear; one garbled passage (6:12–6:36) to be manually ruled out for milch-animal reference.</t>
  </si>
  <si>
    <t>Utilisation plan probed — kitna / kahan / kab (break-up for mixed use)</t>
  </si>
  <si>
    <t>NOT probed — no kitna/kahan/kab break-up.</t>
  </si>
  <si>
    <t>Collateral — type &amp; location; ACTUAL owner per customer; understands property mortgaged &amp; originals deposited</t>
  </si>
  <si>
    <t>Ancestral house (ghar; dukaan also discussed) in THREE brothers' names; mortgage + originals deposit clearly understood and accepted (1:11–1:52). Location not pinned on record.</t>
  </si>
  <si>
    <t xml:space="preserve">Customer's own value estimate (Rs.) vs technical valuation — large gap escalated? </t>
  </si>
  <si>
    <t>~Rs.25–35 lakh stated by customer (5:08–5:45; exact figure partly garbled). Technical valuation not provided — compare when available.</t>
  </si>
  <si>
    <t>Lien-free / no dispute / no existing mortgage confirmed? (issue → RF-6 — STOP, Legal)</t>
  </si>
  <si>
    <t>YES — asked and clean: 'koi vivaad / kisi aur ka loan nahin; aap dekh sakte ho' (5:29–5:52).</t>
  </si>
  <si>
    <t>Zero commission — anyone demanded money? (→ RF-11 — STOP, CCRO) · Zero Commission Policy &amp; Fair Practices stated?</t>
  </si>
  <si>
    <t>NOT ASKED — zero-commission probe and policy statement both missing (also scorecard B3/I1 = None). No demand was volunteered by the customer.</t>
  </si>
  <si>
    <t>Mis-selling / coaching — false promises, misquoted terms, third party prompting answers? (K7 / RF-7 / RF-8 or "Clean")</t>
  </si>
  <si>
    <t>Clean — no false promises or coaching detected; customer speaks first on amount, end use, obligations, value. (Third-party prompting: none audible.)</t>
  </si>
  <si>
    <t>Disclosures — indicative EMI, product nature, next steps (soft sanction → KFS+sanction → disbursement), grievance channel, customer's questions answered</t>
  </si>
  <si>
    <t>Partial — pending documents instructed (death certificate, vanshavali/batwara, 6:59–7:35); terms/deductions touched in a garbled passage (6:04–6:36); indicative EMI figure, soft-sanction→KFS→disbursement chain and grievance channel NOT stated.</t>
  </si>
  <si>
    <t>REPAYMENT CAPACITY &amp; INTENT</t>
  </si>
  <si>
    <t>EMI the customer says he/she can comfortably pay (Rs.) + from which cashflow</t>
  </si>
  <si>
    <t>~Rs.7,000–8,000/month (5:46–6:12; figure partly garbled) — from shop cashflow after household expenses.</t>
  </si>
  <si>
    <t>Surplus walk-through done on call (income − kharcha − existing EMIs vs new EMI) — arithmetic sensible? (fails → RF-9)</t>
  </si>
  <si>
    <t>Only the single embedded question — no full income − kharcha − existing-EMI arithmetic on record. With two EMIs already running, do the FOIR walk-through on the re-conducted call (RF-9 sanity).</t>
  </si>
  <si>
    <t>Repayment INTENT — attitude to EMI, past wilful delay, NACH commitment; reluctance on mortgage/NACH/conditions → RF-10</t>
  </si>
  <si>
    <t>NOT probed — no NACH commitment, no attitude/late-EMI test. No reluctance signals either (customer cooperative, invites verification).</t>
  </si>
  <si>
    <t>CAM CHANGES REQUIRED FROM THIS CALL — before sanction</t>
  </si>
  <si>
    <t>The single most important output of the tele-PD: list every change this call forces into the final CAM — incomes to add or reassess (RF-4), obligations to add with FOIR re-run (RF-5), end-use correction (RF-3), family/expense corrections — or state "NONE — CAM stands as assessed".</t>
  </si>
  <si>
    <t>CAM changes / actions before sanction: (1) Reconcile BOTH loans heard on call — TVS personal (~2 months left) and the tractor loan — against CAM Existing Loans; any not obligated = RF-5 → re-run FOIR. (2) Obtain and verify heirship set: father's death certificate + vanshavali/batwara; execute with ALL THREE brothers on the mortgage (or NOCs) before sanction. (3) Elicit and enter customer-stated income figures (shop + agri) — not on record this call — and run the ±20% check vs CAM. (4) Confirm BCM visited business AND residence (possible RF-12 if not). (5) Re-conduct the Audio PD ≥10 min with recording disclosure, zero-commission block, co-borrower coverage and full disclosures (EMI, process chain, grievance).</t>
  </si>
  <si>
    <t>RED FLAGS &amp; RCM DECISION</t>
  </si>
  <si>
    <t>Red flags raised on call (RF-1 to RF-12 + timestamps) — or "NONE" (K9: every flag needs an escalation note)</t>
  </si>
  <si>
    <t>No confirmed RF on call content. OPEN ITEMS: potential RF-5 (two loans vs CAM — CAM not provided); potential RF-12 (BCM visit not demonstrably confirmed, 0:05–0:20); heir-structure risk being actively mitigated on call (death cert + vanshavali demanded — not an RF-6, no dispute claimed). Process gates K1 &amp; K3 FAILED (duration 7m52s; no recording disclosure).</t>
  </si>
  <si>
    <t>Discrepancies — call vs CAM / BCM PD Report / bureau / AA (or "None noted")</t>
  </si>
  <si>
    <t>Cannot reconcile — CAM, BCM PD Report, bureau and AA output were NOT provided to the evaluator. Everything above is as-spoken-on-call only.</t>
  </si>
  <si>
    <t>RCM DECISION on record: APPROVE / APPROVE WITH CONDITIONS / RETURN TO BCM / REJECT + specific reasons</t>
  </si>
  <si>
    <t>NOT on record — the call closes politely (7:36–7:50) with no APPROVE / CONDITIONS / RETURN / REJECT decision stated.</t>
  </si>
  <si>
    <t>Evaluator's note to management — what needs attention before sanction</t>
  </si>
  <si>
    <t>Substantively one of the better probing calls (heirs, enquiries, bounces, value, EMI capacity all touched) but INVALID on process — 7m52s and no recording disclosure — and the compliance block (zero commission, disclosures, co-borrower) was skipped wholesale. Re-conduct with the checklist; supply CAM/bureau/AA to enable reconciliation scoring.</t>
  </si>
  <si>
    <t>MANAGEMENT ATTENTION REQUIRED?</t>
  </si>
  <si>
    <t>YES</t>
  </si>
  <si>
    <t>YES → route to CCRO/Credit Committee with the note above · NO → file proceeds per the RCM decision and Scorecard verdict</t>
  </si>
  <si>
    <t>Rule: every figure in this summary must trace to what was SPOKEN on the recording (with timestamp) or be marked "Not covered". The summary never replaces the Scorecard — it sits beside the score, the nine gates and the verdict shown in the header. Read the three digests of a file together: BM FI (right file entered), BCM PD (ground truth verified), RCM Audio PD (file reconciled with the customer's own words before sanction).</t>
  </si>
  <si>
    <t>PRODIGEE FINANCE LIMITED — AUDIO PD (RCM TELE-PD) SCORECARD</t>
  </si>
  <si>
    <t>Aligned to LAP Credit Policy V2.3 (effective 01-Aug-2026), BCM PD Report V2.0 and CAM Workbook V2.3</t>
  </si>
  <si>
    <t>HOW TO USE</t>
  </si>
  <si>
    <t>1.</t>
  </si>
  <si>
    <t>Open the 'Scorecard' sheet. Fill ONLY the yellow cells: case header, Coverage rating for each criterion, the 9 knock-out gates, and Remarks with the recording timestamp as evidence.</t>
  </si>
  <si>
    <t>2.</t>
  </si>
  <si>
    <t>Coverage ratings: Full = criterion completely covered on the call · Partial = asked but incomplete / not probed / not reconciled · None = not covered · N/A = not applicable to this case (e.g. dairy questions where the CAM has no dairy income). N/A items are removed from the denominator, so the score is always out of 100.</t>
  </si>
  <si>
    <t>3.</t>
  </si>
  <si>
    <t>The score, section subtotals, band and validity verdict calculate automatically. If ANY knock-out gate is marked FAIL, the Audio PD is INVALID regardless of the score.</t>
  </si>
  <si>
    <t>4.</t>
  </si>
  <si>
    <t>Minimum passing standard: Score ≥ 75 AND all knock-outs PASS AND no open red flag (see 'Reference Lists'). Score 60–74: supplementary call on missed items. Below 60: re-conduct the Audio PD.</t>
  </si>
  <si>
    <t>5.</t>
  </si>
  <si>
    <t>The 'Sample Scored Call' sheet shows a real call (Dwarka Yadav, 19 min) scored end-to-end as a worked example of how each rating is applied.</t>
  </si>
  <si>
    <t>6.</t>
  </si>
  <si>
    <t>NEW — 'Call Summary' sheet: a one-page management digest of the tele-PD built as a call-vs-file RECONCILIATION — income stated vs CAM assessed (±20% auto-check), obligations vs CAM/bureau (RF-5), family &amp; co-borrower vs CAM, verification &amp; integrity checks, capacity &amp; intent, the CAM changes the call forces, red flags and the RCM decision — so management reads the summary instead of hearing the recording. Header, deviations, totals and verdict fill automatically.</t>
  </si>
  <si>
    <t>LEGEND</t>
  </si>
  <si>
    <t>Yellow fill</t>
  </si>
  <si>
    <t>Cells the evaluator fills in</t>
  </si>
  <si>
    <t>White cells</t>
  </si>
  <si>
    <t>Calculated or fixed — do not edit</t>
  </si>
  <si>
    <t>Critical = YES</t>
  </si>
  <si>
    <t>Item is tied to a knock-out gate or red flag; a 'None' rating here should normally trigger the linked gate/flag</t>
  </si>
  <si>
    <t>Source</t>
  </si>
  <si>
    <t>Weights and criteria per 'Audio PD Success Criteria &amp; Scoring Framework V2.0' (companion Word document). Policy references: Prodigee LAP Credit Policy V2.3.</t>
  </si>
  <si>
    <t>AUDIO PD (RCM TELE-PD) — SUCCESS CRITERIA SCORECARD</t>
  </si>
  <si>
    <t>Not provided (CAM / PRAGATI file not shared with evaluator)</t>
  </si>
  <si>
    <t>Evaluator (AI Agent / Reviewer)</t>
  </si>
  <si>
    <t>Claude (AI Evaluation Agent) for Atanu Pandey — 20-Aug-2026</t>
  </si>
  <si>
    <t>Not clearly audible (male, ~40 yrs; kirana/shop business + agriculture, soyabean belt — MP region)</t>
  </si>
  <si>
    <t>Rahul (surname unclear on audio — 'Rahul Rajput'?), Bhopal — self-intro at 0:00–0:15</t>
  </si>
  <si>
    <t>17-Aug-2026 (from WhatsApp file name)</t>
  </si>
  <si>
    <t>ID</t>
  </si>
  <si>
    <t>Success Criterion</t>
  </si>
  <si>
    <t>What the RCM must ask / verify (sample probe)</t>
  </si>
  <si>
    <t>Policy / CAM cross-reference</t>
  </si>
  <si>
    <t>Critical</t>
  </si>
  <si>
    <t>Max Pts</t>
  </si>
  <si>
    <t>Coverage</t>
  </si>
  <si>
    <t>Pts Scored</t>
  </si>
  <si>
    <t>Remarks / evidence (timestamp)</t>
  </si>
  <si>
    <t>SECTION A — CALL OPENING, IDENTITY &amp; CONSENT   (suggested call window: 0:00–1:30)</t>
  </si>
  <si>
    <t>A1</t>
  </si>
  <si>
    <t>Recording disclosure made at the start of the call</t>
  </si>
  <si>
    <t>Inform the customer the call is being recorded for loan verification. / “Yeh call recording par hai, loan verification ke liye.”</t>
  </si>
  <si>
    <t>RBI Fair Practices; Gate K3</t>
  </si>
  <si>
    <t>None</t>
  </si>
  <si>
    <t>No recording disclosure heard in the opening (0:00–0:25) on either of two independent ASR passes.</t>
  </si>
  <si>
    <t>A2</t>
  </si>
  <si>
    <t>Identity validated — RCM is speaking to the MAIN BORROWER himself/herself</t>
  </si>
  <si>
    <t>Confirm full name and that the speaker is the main borrower (not a relative, DSA, agent or anyone else). Cross-check the mobile number belongs to the applicant. Aap khud [name] bol rahe hain? Yeh number aapka hi hai?</t>
  </si>
  <si>
    <t>PD Report §1 (Samagra/Aadhaar mobile check); Gate K2</t>
  </si>
  <si>
    <t>Partial</t>
  </si>
  <si>
    <t>0:00–0:20 — 'Aap [naam] ji baat kar rahe hain?' — 'Ji haan'; main borrower answers own business/loan details throughout. Mobile-number ownership NOT cross-checked. (Name garbled on audio.)</t>
  </si>
  <si>
    <t>A3</t>
  </si>
  <si>
    <t>Customer confirms having applied for the loan (application awareness)</t>
  </si>
  <si>
    <t>“Aapne Prodigee Finance mein loan ke liye file lagayi hai?” — customer should know an application exists.</t>
  </si>
  <si>
    <t>Gate K2 / RF-1</t>
  </si>
  <si>
    <t>—</t>
  </si>
  <si>
    <t>Full</t>
  </si>
  <si>
    <t>0:22–0:45 — customer confirms the Prodigee file himself and volunteers the amount: '5.5 lakh ke liye' — clear application awareness.</t>
  </si>
  <si>
    <t>A4</t>
  </si>
  <si>
    <t>Language comfort and audibility established</t>
  </si>
  <si>
    <t>Speak in the customer's preferred language; confirm the customer can hear and understand.</t>
  </si>
  <si>
    <t>Call quality</t>
  </si>
  <si>
    <t>Hindi throughout; both sides respond appropriately; no language/audibility breakdown attributable to comprehension. (8 kHz WhatsApp audio is thin but conversationally intact.)</t>
  </si>
  <si>
    <t>A5</t>
  </si>
  <si>
    <t>Co-borrower(s) identified and covered</t>
  </si>
  <si>
    <t>Establish who the co-borrowers are and speak with them on this call, or record that a separate co-borrower call will be made.</t>
  </si>
  <si>
    <t>Policy B.4 (min 1 borrower + 1 co-borrower; female mandatory)</t>
  </si>
  <si>
    <t>4:50–5:13 — property is in THREE brothers' names and RCM states all three will join the loan/mortgage ('teeno property/loan mein aayenge — theek hai sir'). But co-borrowers not spoken to on this call and no separate call logged; female co-borrower (Policy B.4) not addressed.</t>
  </si>
  <si>
    <t>SECTION B — LOAN REQUEST, BCM-VISIT &amp; INTEGRITY VERIFICATION   (suggested call window 1:30–3:30)</t>
  </si>
  <si>
    <t>B1</t>
  </si>
  <si>
    <t>Loan amount stated by the customer and matches the CAM</t>
  </si>
  <si>
    <t>“Kitne amount ki file lagayi hai?” — the customer must state the amount themselves; RCM must NOT lead with the figure.</t>
  </si>
  <si>
    <t>CAM Eligibility G22; Policy A.1 (Rs. 5L–25L)</t>
  </si>
  <si>
    <t>0:22–0:45 — customer states '5.5 lakh' HIMSELF (RCM did not feed the figure — good elicitation). CAM not provided to evaluator, so the match to CAM cannot be verified.</t>
  </si>
  <si>
    <t>B2</t>
  </si>
  <si>
    <t>BCM field visit verified with the customer</t>
  </si>
  <si>
    <t>“Prodigee se kaun sahab aaye the? Kya woh aapki dukaan/kaam ki jagah (har income wale kaam) aur ghar dono dekh kar gaye the?” — confirm who the BCM was and that business + residence were physically visited.</t>
  </si>
  <si>
    <t>BCM PD Report §1–§5; RF-12</t>
  </si>
  <si>
    <t>Possible reference to the field visit in the garbled opening (~0:05–0:20, 'visit' audible on one pass) but 'business AND residence both seen' was not demonstrably confirmed. Recommend manual listen of 0:00–0:30.</t>
  </si>
  <si>
    <t>B3</t>
  </si>
  <si>
    <t>Zero-commission integrity check</t>
  </si>
  <si>
    <t>“Kya Prodigee ke kisi staff, DSA ya kisi aur ne is loan ke liye aapse commission, fees ya paisa manga hai?” — and inform: Prodigee has a ZERO COMMISSION policy; only official charges via KFS.</t>
  </si>
  <si>
    <t>Zero Commission Policy; RBI Fair Practices; RF-11</t>
  </si>
  <si>
    <t>No zero-commission / 'kisi ne paisa manga?' question anywhere on the call.</t>
  </si>
  <si>
    <t>B4</t>
  </si>
  <si>
    <t>Customer understands this is a BUSINESS Loan Against Property — property MORTGAGED</t>
  </si>
  <si>
    <t>“Yeh business loan hai jis mein aapki property girvi (mortgage) rakhi jayegi aur original kagaz Prodigee ke paas jama honge — pata hai?”</t>
  </si>
  <si>
    <t>Policy F.1; Gate K4</t>
  </si>
  <si>
    <t>1:11–1:52 — 'Yeh property loan hai, aapki property (girvi) rakhi jayegi... original registry bhi (Prodigee ke) paas rahegi, koi dikkat?' — 'Theek hai sir' — mortgage + originals-deposit clearly consented.</t>
  </si>
  <si>
    <t>B5</t>
  </si>
  <si>
    <t>Pending documents identified and submission instructed</t>
  </si>
  <si>
    <t>“Aapke kaun se document abhi baaki hain — [list from PRAGATI]? Inhe jaldi jama karwa dijiye.” N/A if LOS shows nothing pending.</t>
  </si>
  <si>
    <t>PRAGATI document checklist</t>
  </si>
  <si>
    <t>6:59–7:35 — pending documents specifically instructed: father's death certificate ('mrityu pramaan patra milega na?'), vanshavali/batwara papers for the ancestral house.</t>
  </si>
  <si>
    <t>SECTION C — END USE VERIFICATION   (suggested call window: 3:30–5:00)</t>
  </si>
  <si>
    <t>C1</t>
  </si>
  <si>
    <t>End use stated by the customer in their own words — and genuineness tested</t>
  </si>
  <si>
    <t>“Loan ka paisa kis kaam mein lagayenge?” — open question; do not read the declared end use first. Probe kitna/kahan/kab to judge genuineness. Mismatch = RF-3.</t>
  </si>
  <si>
    <t>Policy B.3; End-Use Declaration Letter</t>
  </si>
  <si>
    <t>1:34–1:59 — open question 'Loan ka paisa kahan lagana hai?' — 'Dukaan mein' (kirana business, 1:24–1:52). Stated in own words, but genuineness probing (kitna/kahan/kab) was thin.</t>
  </si>
  <si>
    <t>C2</t>
  </si>
  <si>
    <t>End use screened against restricted list</t>
  </si>
  <si>
    <t>Probe enough detail to rule out: speculation, new/unrelated business, purchase of milch animals/buffaloes [V2.1], illegal activity.</t>
  </si>
  <si>
    <t>Policy B.3 restrictions</t>
  </si>
  <si>
    <t>Stated use (shop/kirana working capital) is business-linked and not restricted. Explicit restricted-list screening not done; an ambiguous garbled passage at 6:12–6:36 (possibly charges/notary, possibly 'bhains'/buffalo) needs a manual listen to fully rule out milch-animal use.</t>
  </si>
  <si>
    <t>C3</t>
  </si>
  <si>
    <t>Utilisation plan probed (how much, where, when)</t>
  </si>
  <si>
    <t>“Kitna paisa kahan lagega? Kab tak use karenge?” — break-up for mixed use (e.g. debt consolidation + working capital).</t>
  </si>
  <si>
    <t>Policy B.3</t>
  </si>
  <si>
    <t>No utilisation break-up (kitna kahan, kab tak) probed.</t>
  </si>
  <si>
    <t>SECTION D — INCOME &amp; BUSINESS VALIDATION (VS BCM ASSESSMENT)   (suggested call window: 5:00–9:00)</t>
  </si>
  <si>
    <t>D1</t>
  </si>
  <si>
    <t>Nature &amp; scale of every business / income stream established</t>
  </si>
  <si>
    <t>“Aap kya kaam karte hain? Kaise chalta hai? Kitne saal se?” + scale checks (staff, customers/day, stock, capacity) for each income stream the CAM counts.</t>
  </si>
  <si>
    <t>CAM Eligibility B4-F4; PD Report §2; Policy Part M</t>
  </si>
  <si>
    <t>0:46–1:10 works alone in the shop (staff check); 1:52–2:20 vintage probed (doing it since youth; age ~40, father's-era shop); 2:20–3:16 agriculture — two crops incl. soyabean; 3:09–3:35 scale check via UPI customer count.</t>
  </si>
  <si>
    <t>D2</t>
  </si>
  <si>
    <t>References taken to corroborate assessed incomes</t>
  </si>
  <si>
    <t>“Aap kin ke saath kaam karte hain — koi 2–3 naam/number dijiye (supplier, buyer, thekedar, society)?” — assessed incomes need references so Credit can verify claims.</t>
  </si>
  <si>
    <t>PRAGATI assessed-income norms</t>
  </si>
  <si>
    <t>No supplier/buyer/society names or numbers taken as references.</t>
  </si>
  <si>
    <t>D3</t>
  </si>
  <si>
    <t>Income quantum grilled per business — totals, profit %, margins — vs BCM assessment</t>
  </si>
  <si>
    <t>“Din/mahine ki sale kitni? Bachat kitni — kitne percent margin?” per business; season variation; customer states figures first. Ask for PROOF of income — “Iska koi saboot — parchi/bill/receipt, ya bank mein aata hai (AA)?” ±20% vs CAM assessed income; larger deviation = RF-4.</t>
  </si>
  <si>
    <t>CAM Eligibility B5:F5; PRAGATI model</t>
  </si>
  <si>
    <t>Income streams probed but monthly sale/margin figures were not clearly elicited on record (garbled passages 2:21–3:16, 5:29). Proof-of-income angle partly covered via UPI-collections probing (3:09–3:35). CAM assessed income not provided — ±20% check impossible.</t>
  </si>
  <si>
    <t>D4</t>
  </si>
  <si>
    <t>Agricultural income probed in full + incomes the BCM may have missed</t>
  </si>
  <si>
    <t>“Kheti hai? Zameen kiske naam, kitne acre? Saal mein kitni fasal, kaun si? Kheti se saal ka kitna aata hai?” + BCM's agri notes. Then probe OTHER household incomes by name: “Dairy/doodh ka kaam? Patni, pitaji, bhai, bete ka koi business ya naukri? Kiraya? In sab ke alawa koi aur aamdani jo report mein nahi likhi ho?” — asked in every call.</t>
  </si>
  <si>
    <t>Policy C.4/C.7/C.8; CAM agri rows</t>
  </si>
  <si>
    <t>Agriculture probed: land, two crops, soyabean (2:20–3:16); but 'kiske naam, kitne acre, saal ka kitna' not all on record, and other household incomes (wife/brothers) not probed by name.</t>
  </si>
  <si>
    <t>D5</t>
  </si>
  <si>
    <t>AA output reconciled on the call</t>
  </si>
  <si>
    <t>From the AA banking output: “EMI bounce hui hai? Koi bada credit/debit jo roz ka nahi? UPI par mahine ka kitna aata hai, cash kitna?” — at least two AA-based checks. PLUS AA completeness: “Aapke jitne bhi bank account hain, sab AA report mein aa gaye? Koi account chhoota to nahi?” If the MAIN transacting account is missing from AA, pull it ON THE CALL via OTP from the customer.</t>
  </si>
  <si>
    <t>AA report; Policy D.1</t>
  </si>
  <si>
    <t>Two AA-style checks done: EMI-bounce question (2:44–3:09) and UPI collection volume/customer count (3:09–3:35). AA completeness (all bank accounts covered) not asked. AA output not provided to evaluator.</t>
  </si>
  <si>
    <t>D6</t>
  </si>
  <si>
    <t>BCM assessment reasonableness reviewed</t>
  </si>
  <si>
    <t>RCM forms and records a view: BCM income/obligation assessment too conservative or too aggressive? Anything critical missed? Household earners mapped vs CAM. Any income source surfaced on call that the BCM missed MUST be assessed and included in the final CAM and the RCM decision note.</t>
  </si>
  <si>
    <t>CAM vs call reconciliation; PD Report</t>
  </si>
  <si>
    <t>No on-record RCM view of the BCM assessment (conservative/aggressive/missed items). CAM not provided to evaluator either.</t>
  </si>
  <si>
    <t>SECTION E — OBLIGATIONS &amp; LIABILITIES PROBING   (suggested call window: 9:00–11:00)</t>
  </si>
  <si>
    <t>E1</t>
  </si>
  <si>
    <t>Obligations enumerated by the customer and reconciled — bureau, CAM and market</t>
  </si>
  <si>
    <t>“Abhi kaun-kaun se loan chal rahe hain? Kis company se, kitni EMI? Bazaar mein kisi ka udhaar?” — reconcile against the CRIF/CIBIL bureau report (every active tradeline) and CAM. Loan not in CAM = RF-5.</t>
  </si>
  <si>
    <t>CAM Existing Loans A14-K17; Bureau; Policy C.5</t>
  </si>
  <si>
    <t>3:36–4:02 — 'koi loan chal raha hai?' — one personal loan, TVS, ~2 months left; EMI asked but the figure is not intelligible; 4:24 reveals a TRACTOR loan also running. Bureau/CAM not provided — reconciliation impossible; EMIs not totalled.</t>
  </si>
  <si>
    <t>E2</t>
  </si>
  <si>
    <t>Specific probes — MFI/group, KCC, society/PACS, gold and hand loans</t>
  </si>
  <si>
    <t>“Koi samooh/group/bhishi/MFI loan — aapki patni ke naam par? KCC limit? Society ka loan? Sona girvi? Haath-udhaar?” — each asked explicitly, household-wide.</t>
  </si>
  <si>
    <t>Policy C.5 / C.5.1</t>
  </si>
  <si>
    <t>Samooh/group (MFI) loan asked (~3:44–4:12 — answer negative); KCC, society/PACS, gold and haath-udhaar not individually asked; household-wide (wife's-name) probe not made.</t>
  </si>
  <si>
    <t>E3</t>
  </si>
  <si>
    <t>Recent bureau enquiries (last 3 months) probed</t>
  </si>
  <si>
    <t>“Pichhle 2–3 mahine mein kisi aur bank/NBFC mein apply kiya? Kya hua us file ka?” — check against the bureau enquiry list; understand each outcome.</t>
  </si>
  <si>
    <t>Bureau enquiry section (last 3 months)</t>
  </si>
  <si>
    <t>4:03–4:23 — 'Pichhle 2–3 mahine mein kahin aur file lagayi?' — YES, one prior application (lender name garbled — Muthoot?) with outcome discussed (did not proceed). Good, explicit enquiry probe.</t>
  </si>
  <si>
    <t>E4</t>
  </si>
  <si>
    <t>Repayment track / bounce history acknowledged</t>
  </si>
  <si>
    <t>“Kisi loan mein EMI late ya bounce hui hai? Koi overdue hai?”</t>
  </si>
  <si>
    <t>Policy D.1/D.4</t>
  </si>
  <si>
    <t>2:44–3:09 and 4:24–4:49 — EMI late/bounce put to the customer for both running loans — customer: no late, no bounce.</t>
  </si>
  <si>
    <t>SECTION F — FAMILY STRUCTURE &amp; CO-BORROWER AWARENESS   (suggested call window: 11:00–12:00)</t>
  </si>
  <si>
    <t>F1</t>
  </si>
  <si>
    <t>Family members, dependents and household expenses confirmed vs CAM</t>
  </si>
  <si>
    <t>“Ghar mein kitne log? Kitne aap par nirbhar? Mahine ka ghar kharcha kitna?” — within ±1 of CAM family table.</t>
  </si>
  <si>
    <t>CAM family details; Policy C.2</t>
  </si>
  <si>
    <t>Family structure partially emerges (three brothers; father deceased ~7:00–7:35; brothers live separately 4:50–5:13) but dependants count and monthly household expense were not elicited as figures.</t>
  </si>
  <si>
    <t>F2</t>
  </si>
  <si>
    <t>Co-borrower spoken to on the call and awareness probed</t>
  </si>
  <si>
    <t>“[Co-borrower] se baat ho sakti hai?” — speak to co-borrower on this call (or log separate call); probe awareness of loan, amount and purpose.</t>
  </si>
  <si>
    <t>Policy B.4; PD Report §4</t>
  </si>
  <si>
    <t>No co-borrower spoken to on the call and no separate co-borrower call logged. (Brothers' joining discussed at 4:50–5:13, but awareness of amount/purpose not tested with them.)</t>
  </si>
  <si>
    <t>F3</t>
  </si>
  <si>
    <t>Property-owner and legal-heir structure confirmed</t>
  </si>
  <si>
    <t>“Property kiske naam par hai? (If ancestral) Bhai/behen/waris ka koi hissa hai? Sab loan mein shaamil hain ya NOC denge?”</t>
  </si>
  <si>
    <t>Policy B.4/B.4.1/B.4.2</t>
  </si>
  <si>
    <t>4:50–5:13 + 6:59–7:35 — ownership: ancestral house in three brothers' names; all three to join the loan; father deceased — death certificate and vanshavali/batwara demanded. Exactly the heir-structure probe the rubric wants.</t>
  </si>
  <si>
    <t>SECTION G — COLLATERAL PROPERTY VALIDATION   (suggested call window: 12:00–13:00)</t>
  </si>
  <si>
    <t>G1</t>
  </si>
  <si>
    <t>Collateral type identified and the ACTUAL owner confirmed</t>
  </si>
  <si>
    <t>“Kaun si property girvi hogi — ghar/dukaan/plot? Kahan hai? Asli maalik kaun — kagaz kiske naam? Kaun se original kagaz hain — registry, rin pustika, patta, naksha?” — and confirm the customer knows the property will be MORTGAGED and originals deposited.</t>
  </si>
  <si>
    <t>CAM B20-B30; Property Checklist</t>
  </si>
  <si>
    <t>Type probed (ghar/dukaan discussion 5:08–5:36), actual owners confirmed (three brothers), originals/registry deposit understood (1:11–1:52). Location and full document list (rin pustika/patta/naksha) not on record.</t>
  </si>
  <si>
    <t>G2</t>
  </si>
  <si>
    <t>Approximate market value asked from the customer</t>
  </si>
  <si>
    <t>“Aaj bechni ho to andaazan kitne ki hai?” — sanity-check vs technical valuation; large gap escalated.</t>
  </si>
  <si>
    <t>Technical valuation; Policy F.3</t>
  </si>
  <si>
    <t>5:08–5:45 — market value asked; customer estimates the property at roughly Rs.25–35 lakh (exact figure partly garbled: '25 lakh' on one pass, 'paintees/35' on the other — both passes agree a lakh-range estimate was given).</t>
  </si>
  <si>
    <t>G3</t>
  </si>
  <si>
    <t>Lien-free / no-dispute / no-existing-mortgage confirmation taken</t>
  </si>
  <si>
    <t>“Property par koi vivaad, court case, ya kisi aur bank ka loan/girvi to nahi? Bilkul lien-free hai?” — any dispute/charge = RF-6.</t>
  </si>
  <si>
    <t>Policy F.1 (first &amp; exclusive charge); Part J.2</t>
  </si>
  <si>
    <t>5:29–5:52 — 'koi vivaad/koi aur loan to nahin?' — 'Nahin — aap poochh sakte ho, dekh sakte ho' — dispute/lien check made with an open, verifiable answer.</t>
  </si>
  <si>
    <t>SECTION H — REPAYMENT CAPACITY &amp; INTENT   (suggested call window: 13:00–14:00)</t>
  </si>
  <si>
    <t>H1</t>
  </si>
  <si>
    <t>EMI capacity probed — how much EMI can the borrower pay, from which cashflow</t>
  </si>
  <si>
    <t>“Kitni EMI aaram se de payenge? Kis kamai se bharenge? Mahina kaisa bhi jaye, EMI kaise niklegi?” — arithmetically sensible vs income &amp; obligations (RF-9).</t>
  </si>
  <si>
    <t>Policy C.2 (FOIR ≤60%, disposable ≥ ₹10,000)</t>
  </si>
  <si>
    <t>5:46–6:12 — 'Kitni EMI aaram se bhar paayenge mahine ki, ghar-kharcha vagairah nikaal ke?' — customer states a comfortable figure (sounds like Rs.7,000–8,000; audio partly garbled). Probe framed exactly per rubric, from cashflow after expenses.</t>
  </si>
  <si>
    <t>H2</t>
  </si>
  <si>
    <t>Surplus / affordability sanity-check discussed</t>
  </si>
  <si>
    <t>Walk the customer through income minus kharcha minus existing EMIs to confirm the new EMI fits.</t>
  </si>
  <si>
    <t>CAM Eligibility G18/G26</t>
  </si>
  <si>
    <t>The EMI question embeds a kharcha-minus logic but no full income − kharcha − existing-EMI walk-through was done on record.</t>
  </si>
  <si>
    <t>H3</t>
  </si>
  <si>
    <t>Repayment INTENT probed — default indicators + commitment</t>
  </si>
  <si>
    <t>Test intent, not just capacity: attitude to EMI, past wilful delays, “EMI late hui to?”; NACH commitment. Reluctance on mortgage/NACH/conditions = RF-10.</t>
  </si>
  <si>
    <t>Policy G.1; RF-10</t>
  </si>
  <si>
    <t>Repayment intent not probed — no 'EMI late hui to?', no NACH commitment, no attitude testing.</t>
  </si>
  <si>
    <t>SECTION I — BRIEF MANDATORY DISCLOSURES (ZERO COMMISSION, FAIR PRACTICE, EMI)   (suggested call window 14:00–15:00)</t>
  </si>
  <si>
    <t>I1</t>
  </si>
  <si>
    <t>Zero Commission Policy &amp; Fair Practices stated</t>
  </si>
  <si>
    <t>“Prodigee mein kisi ko koi commission nahi dena — zero commission policy hai. Sab charges official hain aur likhit milenge.”</t>
  </si>
  <si>
    <t>Zero Commission Policy; RBI Fair Practices</t>
  </si>
  <si>
    <t>Zero Commission Policy / Fair Practices never stated to the customer.</t>
  </si>
  <si>
    <t>I2</t>
  </si>
  <si>
    <t>Indicative EMI communicated briefly</t>
  </si>
  <si>
    <t>“Agar [amount] ka loan sanction hota hai to andaazan EMI [figure] ke aas-paas banegi.” — brief, clearly indicative, not a commitment.</t>
  </si>
  <si>
    <t>CAM Eligibility G24</t>
  </si>
  <si>
    <t>6:04–6:36 — garbled passage that appears to cover loan terms — a percent/rate mention and deductions from disbursement ('jo lagega wo kat ke aayega', notary charges) — but a clear indicative EMI figure for amount+tenure is not audible. Manual listen recommended.</t>
  </si>
  <si>
    <t>I3</t>
  </si>
  <si>
    <t>Loan nature confirmed — BUSINESS Loan Against Property</t>
  </si>
  <si>
    <t>One line: “Yeh business loan hai, property ke against — mortgage hoga.” — different product expectation = RF-8.</t>
  </si>
  <si>
    <t>Gate K4; RF-8</t>
  </si>
  <si>
    <t>1:11–1:52 — business/property loan nature with mortgage and originals deposit explicitly confirmed (also anchors Gate K4).</t>
  </si>
  <si>
    <t>I4</t>
  </si>
  <si>
    <t>Next steps, pending documents and grievance channel summarised</t>
  </si>
  <si>
    <t>Close with pending documents to submit, the next process stated transparently — “Agar case approve hota hai to pehle SOFT SANCTION LETTER milega, phir KFS ke saath SANCTION LETTER, uske baad DISBURSEMENT; Prodigee Operations team aapko call karegi” — how to complain (branch/nodal officer), and ASK: “Aapka koi sawaal hai?” — answer every query before closing.</t>
  </si>
  <si>
    <t>Policy I.1/I.2</t>
  </si>
  <si>
    <t>Pending documents clearly instructed (6:59–7:35) and polite close (7:36–7:50), but next process steps (soft sanction → KFS + sanction → disbursement) and grievance channel not stated.</t>
  </si>
  <si>
    <t>SECTION J — CALL CONDUCT &amp; PROFESSIONAL QUALITY   (suggested call window: Throughout)</t>
  </si>
  <si>
    <t>J1</t>
  </si>
  <si>
    <t>Audio quality, completeness and duration (10–20 minutes)</t>
  </si>
  <si>
    <t>Both voices audible end-to-end; call not cut abruptly; duration ≥ 10 min (MANDATORY) and ideally ≤ 20 (target 15).</t>
  </si>
  <si>
    <t>Gate K1</t>
  </si>
  <si>
    <t>Recording is 7 min 52 sec — below the MANDATORY 10-minute minimum (Gate K1). 8 kHz WhatsApp-forwarded audio; both voices present end-to-end; call closes politely (not cut).</t>
  </si>
  <si>
    <t>J2</t>
  </si>
  <si>
    <t>Open, non-leading questioning technique</t>
  </si>
  <si>
    <t>Material facts (amount, income, end use, obligations) elicited with OPEN questions; customer speaks first, RCM verifies.</t>
  </si>
  <si>
    <t>Gate K7 / RF-7</t>
  </si>
  <si>
    <t>Amount volunteered by the customer (0:22), end use open-question (1:34), obligations open (3:36), enquiries open (4:03), value estimate open (5:08). No figure-feeding detected.</t>
  </si>
  <si>
    <t>J3</t>
  </si>
  <si>
    <t>Courteous, structured and complete flow</t>
  </si>
  <si>
    <t>Respectful tone, logical section order, proper closure summarising next steps.</t>
  </si>
  <si>
    <t>Fair Practices Code</t>
  </si>
  <si>
    <t>Courteous and reasonably logical flow with a polite namaskar close (7:36–7:50), but no closing summary of next steps.</t>
  </si>
  <si>
    <t>SECTION SUBTOTALS</t>
  </si>
  <si>
    <t>Section</t>
  </si>
  <si>
    <t>Applicable Pts</t>
  </si>
  <si>
    <t>Scored</t>
  </si>
  <si>
    <t>Coverage %</t>
  </si>
  <si>
    <t>A — Call Opening, Identity &amp; Consent</t>
  </si>
  <si>
    <t>B — Loan Request &amp; Terms Awareness</t>
  </si>
  <si>
    <t>C — End Use Verification</t>
  </si>
  <si>
    <t>D — Income &amp; Business Validation (vs BCM Assessment)</t>
  </si>
  <si>
    <t>E — Obligations &amp; Liabilities Probing</t>
  </si>
  <si>
    <t>F — Family Structure &amp; Co-Borrower Awareness</t>
  </si>
  <si>
    <t>G — Collateral Property Validation</t>
  </si>
  <si>
    <t>H — Repayment Capacity &amp; Intent</t>
  </si>
  <si>
    <t>I — Mandatory Disclosures (Charges, Insurance, Grievance)</t>
  </si>
  <si>
    <t>J — Call Conduct &amp; Professional Quality</t>
  </si>
  <si>
    <t>KNOCK-OUT GATES (any FAIL ⇒ Audio PD INVALID)</t>
  </si>
  <si>
    <t>Gate</t>
  </si>
  <si>
    <t>Requirement</t>
  </si>
  <si>
    <t>Result (PASS/FAIL)</t>
  </si>
  <si>
    <t>K1</t>
  </si>
  <si>
    <t>Valid recording exists — audible both sides, materially complete, duration ≥ 10 minutes (MANDATORY minimum); ideally not beyond 20 minutes (target 15).</t>
  </si>
  <si>
    <t>FAIL</t>
  </si>
  <si>
    <t>K2</t>
  </si>
  <si>
    <t>The RCM spoke to the MAIN BORROWER himself/herself — and not solely a relative, DSA, agent, or any other person.</t>
  </si>
  <si>
    <t>PASS</t>
  </si>
  <si>
    <t>K3</t>
  </si>
  <si>
    <t>Recording disclosure was made to the customer at the start of the call.</t>
  </si>
  <si>
    <t>K4</t>
  </si>
  <si>
    <t>Customer clearly understands this is a LOAN AGAINST PROPERTY — property mortgaged, original title documents deposited.</t>
  </si>
  <si>
    <t>K5</t>
  </si>
  <si>
    <t>Customer is aware of the loan amount applied (stated within ±10% of CAM amount without being fed the figure).</t>
  </si>
  <si>
    <t>K6</t>
  </si>
  <si>
    <t>No restricted end use surfaced (speculation, new/unrelated business, purchase of milch animals/buffaloes, illegal activity).</t>
  </si>
  <si>
    <t>K7</t>
  </si>
  <si>
    <t>No mis-selling on the call — no false waiver/subsidy/government-scheme promises, no misquoting of rate or charges, no coaching the customer's answers.</t>
  </si>
  <si>
    <t>K8</t>
  </si>
  <si>
    <t>No negative-profile revelation left unescalated (PEP, negative industry/occupation per Part J.1, ST-property issue, notified-slum residence).</t>
  </si>
  <si>
    <t>K9</t>
  </si>
  <si>
    <t>Every red flag raised on the call is recorded with an escalation note (RCM cannot approve past an open red flag).</t>
  </si>
  <si>
    <t>TOTAL SCORE (normalised to 100)</t>
  </si>
  <si>
    <t>KNOCK-OUT STATUS</t>
  </si>
  <si>
    <t>GRADE BAND</t>
  </si>
  <si>
    <t>FINAL VERDICT</t>
  </si>
  <si>
    <t>GAP &amp; COACHING REPORT — what was missed in this Audio PD (auto-generated from the Scorecard ratings)</t>
  </si>
  <si>
    <t>Fill the Coverage column on the Scorecard sheet — every item rated None or Partial appears below automatically, with the points it cost. Clear this list = 100. Target: 90+ on every call.</t>
  </si>
  <si>
    <t>SCORE</t>
  </si>
  <si>
    <t>Total score (from Scorecard)</t>
  </si>
  <si>
    <t>Points still needed to reach 90+ (A-band, model call)</t>
  </si>
  <si>
    <t>GATES</t>
  </si>
  <si>
    <t>Knock-out gates failed (each one alone makes the Audio PD INVALID — re-conduct)</t>
  </si>
  <si>
    <t>Result</t>
  </si>
  <si>
    <t>ITEM</t>
  </si>
  <si>
    <t>WHAT WAS MISSED OR LEFT INCOMPLETE — cover this next time</t>
  </si>
  <si>
    <t>Points lost</t>
  </si>
  <si>
    <t>TOTAL POINTS LOST to missed / incomplete items</t>
  </si>
  <si>
    <t>Coaching rule of thumb: items marked MISSED are the supplementary-call checklist (mandatory when the score is 60–74). Items marked INCOMPLETE cost half points — one follow-up question each would have converted them to Full. Rows stay blank when an item was covered Full or rated N/A.</t>
  </si>
  <si>
    <t>RED FLAGS — MANDATORY ESCALATION TRIGGERS</t>
  </si>
  <si>
    <t>Code</t>
  </si>
  <si>
    <t>Trigger detected on the call</t>
  </si>
  <si>
    <t>Required action</t>
  </si>
  <si>
    <t>RF-1</t>
  </si>
  <si>
    <t>Customer unaware that a loan application exists, or does not know Prodigee Finance — possible DSA/agent fraud.</t>
  </si>
  <si>
    <t>STOP — refer to RCU &amp; CCRO</t>
  </si>
  <si>
    <t>RF-2</t>
  </si>
  <si>
    <t>Loan amount stated by customer differs from CAM by more than ±10%.</t>
  </si>
  <si>
    <t>Reconcile with BCM; re-confirm before sanction</t>
  </si>
  <si>
    <t>RF-3</t>
  </si>
  <si>
    <t>End use stated on call conflicts with the End-Use Declaration / CAM.</t>
  </si>
  <si>
    <t>Fresh end-use declaration; CCRO note</t>
  </si>
  <si>
    <t>RF-4</t>
  </si>
  <si>
    <t>Customer-stated income deviates from CAM assessed income by more than ±20%.</t>
  </si>
  <si>
    <t>Return CAM to BCM for reassessment</t>
  </si>
  <si>
    <t>RF-5</t>
  </si>
  <si>
    <t>Customer discloses a loan/EMI not obligated in the CAM (incl. MFI, society, gold, hand loans).</t>
  </si>
  <si>
    <t>Re-run FOIR with the new obligation; CCRO approval if breached</t>
  </si>
  <si>
    <t>RF-6</t>
  </si>
  <si>
    <t>Property dispute, existing mortgage/charge, or third-party claim mentioned on call.</t>
  </si>
  <si>
    <t>STOP — refer Legal before any further processing</t>
  </si>
  <si>
    <t>RF-7</t>
  </si>
  <si>
    <t>Third party audibly prompting/coaching the customer's answers during the call.</t>
  </si>
  <si>
    <t>Treat responses as unreliable; re-conduct Audio PD</t>
  </si>
  <si>
    <t>RF-8</t>
  </si>
  <si>
    <t>Customer expects a different loan product (e.g. thinks it is unsecured/government scheme) or was promised waivers by field staff.</t>
  </si>
  <si>
    <t>Escalate as mis-selling; CCRO + re-consent</t>
  </si>
  <si>
    <t>RF-9</t>
  </si>
  <si>
    <t>Income arithmetic on call cannot support the EMI (fails FOIR common-sense check).</t>
  </si>
  <si>
    <t>Return to credit for FOIR re-check</t>
  </si>
  <si>
    <t>RF-10</t>
  </si>
  <si>
    <t>Customer reluctant/refuses on mortgage, NACH, insurance or any sanction condition.</t>
  </si>
  <si>
    <t>Hold sanction until resolved and documented</t>
  </si>
  <si>
    <t>RF-11</t>
  </si>
  <si>
    <t>Anyone (Prodigee staff, DSA/connector or third party) demanded commission, fees or money from the customer — Zero Commission Policy breach.</t>
  </si>
  <si>
    <t>STOP — CCRO + HR/conduct referral; customer re-assured of zero commission</t>
  </si>
  <si>
    <t>RF-12</t>
  </si>
  <si>
    <t>Customer indicates the BCM did not visit the business and/or residence, or the visit was materially incomplete.</t>
  </si>
  <si>
    <t>Return file — physical PD to be re-conducted; CCRO note</t>
  </si>
  <si>
    <t>SCORE BANDS &amp; ACTIONS</t>
  </si>
  <si>
    <t>Score</t>
  </si>
  <si>
    <t>Band</t>
  </si>
  <si>
    <t>Action</t>
  </si>
  <si>
    <t>90–100</t>
  </si>
  <si>
    <t>A — Excellent</t>
  </si>
  <si>
    <t>Model call. Approve; use recording for training library.</t>
  </si>
  <si>
    <t>75–89</t>
  </si>
  <si>
    <t>B — Pass</t>
  </si>
  <si>
    <t>Audio PD acceptable. Proceed to approval decision.</t>
  </si>
  <si>
    <t>60–74</t>
  </si>
  <si>
    <t>C — Conditional</t>
  </si>
  <si>
    <t>Approval blocked until RCM completes a supplementary call covering the missed items (list auto-generated from items scored None).</t>
  </si>
  <si>
    <t>Below 60</t>
  </si>
  <si>
    <t>D — Fail</t>
  </si>
  <si>
    <t>Audio PD to be re-conducted in full by the RCM; score counts in RCM quality MIS.</t>
  </si>
  <si>
    <t>Any knock-out failed</t>
  </si>
  <si>
    <t>INVALID</t>
  </si>
  <si>
    <t>Recording rejected regardless of score; re-conduct. Repeated K7 (mis-selling) failures → disciplinary referral.</t>
  </si>
  <si>
    <t>Minimum passing standard: Score ≥ 75 AND all 9 knock-out gates PASS AND no open red flag. Recommended portfolio target: RCM average ≥ 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</si>
</sst>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charset val="1"/>
    </font>
    <font>
      <sz val="11"/>
      <color theme="1"/>
      <name val="Aptos Display"/>
      <family val="2"/>
      <charset val="1"/>
    </font>
    <font>
      <b/>
      <sz val="11"/>
      <color rgb="FF1F3864"/>
      <name val="Aptos Display"/>
      <family val="2"/>
      <charset val="1"/>
    </font>
    <font>
      <i/>
      <sz val="11"/>
      <color rgb="FF595959"/>
      <name val="Aptos Display"/>
      <family val="2"/>
      <charset val="1"/>
    </font>
    <font>
      <b/>
      <sz val="11"/>
      <name val="Aptos Display"/>
      <family val="2"/>
      <charset val="1"/>
    </font>
    <font>
      <sz val="11"/>
      <name val="Aptos Display"/>
      <family val="2"/>
      <charset val="1"/>
    </font>
    <font>
      <b/>
      <sz val="11"/>
      <name val="Aptos Display"/>
      <charset val="1"/>
    </font>
    <font>
      <sz val="11"/>
      <name val="Aptos Display"/>
      <charset val="1"/>
    </font>
    <font>
      <b/>
      <sz val="13"/>
      <color rgb="FFFFFFFF"/>
      <name val="Arial"/>
      <charset val="1"/>
    </font>
    <font>
      <b/>
      <sz val="10"/>
      <name val="Arial"/>
      <charset val="1"/>
    </font>
    <font>
      <sz val="10"/>
      <name val="Arial"/>
      <charset val="1"/>
    </font>
    <font>
      <b/>
      <sz val="10"/>
      <color rgb="FFFFFFFF"/>
      <name val="Aptos Display"/>
      <family val="2"/>
      <charset val="1"/>
    </font>
    <font>
      <sz val="10"/>
      <color theme="1"/>
      <name val="Aptos Display"/>
      <family val="2"/>
      <charset val="1"/>
    </font>
    <font>
      <b/>
      <sz val="10"/>
      <color rgb="FF000000"/>
      <name val="Aptos Display"/>
      <family val="2"/>
      <charset val="1"/>
    </font>
    <font>
      <sz val="10"/>
      <color rgb="FF000000"/>
      <name val="Aptos Display"/>
      <family val="2"/>
      <charset val="1"/>
    </font>
    <font>
      <sz val="10"/>
      <color rgb="FFC00000"/>
      <name val="Aptos Display"/>
      <family val="2"/>
      <charset val="1"/>
    </font>
    <font>
      <sz val="10"/>
      <name val="Aptos Display"/>
      <family val="2"/>
      <charset val="1"/>
    </font>
    <font>
      <b/>
      <sz val="10"/>
      <color rgb="FF1F3864"/>
      <name val="Arial"/>
      <charset val="1"/>
    </font>
    <font>
      <b/>
      <sz val="10"/>
      <color rgb="FFC00000"/>
      <name val="Arial"/>
      <charset val="1"/>
    </font>
    <font>
      <b/>
      <sz val="10"/>
      <name val="Aptos Display"/>
      <family val="2"/>
      <charset val="1"/>
    </font>
    <font>
      <b/>
      <sz val="11"/>
      <name val="Arial"/>
      <charset val="1"/>
    </font>
    <font>
      <i/>
      <sz val="9"/>
      <color rgb="FF595959"/>
      <name val="Aptos Display"/>
      <charset val="1"/>
    </font>
    <font>
      <b/>
      <sz val="10"/>
      <name val="Aptos Display"/>
      <charset val="1"/>
    </font>
    <font>
      <sz val="10"/>
      <name val="Aptos Display"/>
      <charset val="1"/>
    </font>
    <font>
      <sz val="9"/>
      <name val="Aptos Display"/>
      <charset val="1"/>
    </font>
    <font>
      <b/>
      <sz val="10"/>
      <color rgb="FFFFFFFF"/>
      <name val="Aptos Display"/>
      <charset val="1"/>
    </font>
    <font>
      <b/>
      <sz val="9"/>
      <color rgb="FFFFFFFF"/>
      <name val="Aptos Display"/>
      <charset val="1"/>
    </font>
    <font>
      <b/>
      <sz val="11"/>
      <color rgb="FFFFFFFF"/>
      <name val="Aptos Display"/>
      <charset val="1"/>
    </font>
    <font>
      <b/>
      <sz val="11"/>
      <color rgb="FFFFFFFF"/>
      <name val="Aptos Display"/>
      <family val="2"/>
      <charset val="1"/>
    </font>
    <font>
      <i/>
      <sz val="11"/>
      <color rgb="FF808080"/>
      <name val="Aptos Display"/>
      <family val="2"/>
      <charset val="1"/>
    </font>
    <font>
      <b/>
      <sz val="11"/>
      <color rgb="FFC00000"/>
      <name val="Aptos Display"/>
      <family val="2"/>
      <charset val="1"/>
    </font>
    <font>
      <i/>
      <sz val="11"/>
      <name val="Aptos Display"/>
      <family val="2"/>
      <charset val="1"/>
    </font>
  </fonts>
  <fills count="12">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2E5AA8"/>
        <bgColor rgb="FF2E5496"/>
      </patternFill>
    </fill>
    <fill>
      <patternFill patternType="solid">
        <fgColor rgb="FF7F1D1D"/>
        <bgColor rgb="FF7C1D1D"/>
      </patternFill>
    </fill>
    <fill>
      <patternFill patternType="solid">
        <fgColor rgb="FFDCE6F1"/>
        <bgColor rgb="FFD9E2F3"/>
      </patternFill>
    </fill>
    <fill>
      <patternFill patternType="solid">
        <fgColor rgb="FFF2F2F2"/>
        <bgColor rgb="FFFFFFFF"/>
      </patternFill>
    </fill>
    <fill>
      <patternFill patternType="solid">
        <fgColor rgb="FF2E5496"/>
        <bgColor rgb="FF2E5AA8"/>
      </patternFill>
    </fill>
    <fill>
      <patternFill patternType="solid">
        <fgColor rgb="FFFFF2CC"/>
        <bgColor rgb="FFF2F2F2"/>
      </patternFill>
    </fill>
    <fill>
      <patternFill patternType="solid">
        <fgColor rgb="FF7C1D1D"/>
        <bgColor rgb="FF7F1D1D"/>
      </patternFill>
    </fill>
    <fill>
      <patternFill patternType="solid">
        <fgColor rgb="FFD9E2F3"/>
        <bgColor rgb="FFDCE6F1"/>
      </patternFill>
    </fill>
  </fills>
  <borders count="12">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95">
    <xf numFmtId="0" fontId="0" fillId="0" borderId="0" xfId="0"/>
    <xf numFmtId="0" fontId="11" fillId="5" borderId="1" xfId="0" applyFont="1" applyFill="1" applyBorder="1" applyAlignment="1">
      <alignment horizontal="center" vertical="center" wrapText="1"/>
    </xf>
    <xf numFmtId="0" fontId="11" fillId="4" borderId="1" xfId="0" applyFont="1" applyFill="1" applyBorder="1" applyAlignment="1">
      <alignment vertical="center"/>
    </xf>
    <xf numFmtId="0" fontId="1" fillId="0" borderId="0" xfId="0" applyFont="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5" fillId="0" borderId="1" xfId="0" applyFont="1" applyBorder="1" applyAlignment="1">
      <alignment vertical="center" wrapText="1"/>
    </xf>
    <xf numFmtId="0" fontId="0" fillId="0" borderId="0" xfId="0" applyAlignment="1">
      <alignment vertical="center"/>
    </xf>
    <xf numFmtId="0" fontId="9" fillId="0" borderId="0" xfId="0" applyFont="1" applyAlignment="1">
      <alignment vertical="center"/>
    </xf>
    <xf numFmtId="0" fontId="10" fillId="3" borderId="2" xfId="0" applyFont="1" applyFill="1" applyBorder="1" applyAlignment="1">
      <alignment vertical="center"/>
    </xf>
    <xf numFmtId="0" fontId="0" fillId="3" borderId="2" xfId="0" applyFill="1" applyBorder="1" applyAlignment="1">
      <alignment vertical="center"/>
    </xf>
    <xf numFmtId="0" fontId="11" fillId="2" borderId="1" xfId="0" applyFont="1" applyFill="1" applyBorder="1" applyAlignment="1">
      <alignment horizontal="center" vertical="center" wrapText="1"/>
    </xf>
    <xf numFmtId="0" fontId="12" fillId="4" borderId="1" xfId="0" applyFont="1" applyFill="1" applyBorder="1" applyAlignment="1">
      <alignment vertical="center"/>
    </xf>
    <xf numFmtId="0" fontId="13"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3" borderId="1" xfId="0" applyFont="1" applyFill="1" applyBorder="1" applyAlignment="1">
      <alignment horizontal="center" vertical="center"/>
    </xf>
    <xf numFmtId="0" fontId="16" fillId="0" borderId="1" xfId="0" applyFont="1" applyBorder="1" applyAlignment="1">
      <alignment horizontal="center" vertical="center"/>
    </xf>
    <xf numFmtId="0" fontId="16" fillId="3" borderId="1" xfId="0" applyFont="1" applyFill="1" applyBorder="1" applyAlignment="1">
      <alignment vertical="center" wrapText="1"/>
    </xf>
    <xf numFmtId="0" fontId="17" fillId="0" borderId="0" xfId="0" applyFont="1" applyAlignment="1">
      <alignment vertical="center"/>
    </xf>
    <xf numFmtId="0" fontId="11" fillId="4" borderId="1" xfId="0" applyFont="1" applyFill="1" applyBorder="1" applyAlignment="1">
      <alignment horizontal="center" vertical="center" wrapText="1"/>
    </xf>
    <xf numFmtId="0" fontId="16" fillId="0" borderId="1" xfId="0" applyFont="1" applyBorder="1" applyAlignment="1">
      <alignment horizontal="left" vertical="center"/>
    </xf>
    <xf numFmtId="0" fontId="18" fillId="0" borderId="0" xfId="0" applyFont="1" applyAlignment="1">
      <alignment vertical="center"/>
    </xf>
    <xf numFmtId="0" fontId="19" fillId="0" borderId="1" xfId="0" applyFont="1" applyBorder="1" applyAlignment="1">
      <alignment vertical="center"/>
    </xf>
    <xf numFmtId="0" fontId="19" fillId="3" borderId="1" xfId="0" applyFont="1" applyFill="1" applyBorder="1" applyAlignment="1">
      <alignment horizontal="center" vertical="center"/>
    </xf>
    <xf numFmtId="0" fontId="20" fillId="0" borderId="1" xfId="0" applyFont="1" applyBorder="1" applyAlignment="1">
      <alignment vertical="center"/>
    </xf>
    <xf numFmtId="0" fontId="0" fillId="0" borderId="1" xfId="0" applyBorder="1" applyAlignment="1">
      <alignment vertical="center"/>
    </xf>
    <xf numFmtId="0" fontId="20" fillId="6" borderId="1" xfId="0" applyFont="1" applyFill="1" applyBorder="1" applyAlignment="1">
      <alignment horizontal="center" vertical="center"/>
    </xf>
    <xf numFmtId="0" fontId="1" fillId="0" borderId="0" xfId="0" applyFont="1"/>
    <xf numFmtId="0" fontId="28" fillId="8" borderId="1" xfId="0" applyFont="1" applyFill="1" applyBorder="1"/>
    <xf numFmtId="0" fontId="4" fillId="0" borderId="1" xfId="0" applyFont="1" applyBorder="1"/>
    <xf numFmtId="0" fontId="4" fillId="0" borderId="1" xfId="0" applyFont="1" applyBorder="1" applyAlignment="1">
      <alignment horizontal="center"/>
    </xf>
    <xf numFmtId="0" fontId="1" fillId="0" borderId="1" xfId="0" applyFont="1" applyBorder="1"/>
    <xf numFmtId="0" fontId="4" fillId="9" borderId="1" xfId="0" applyFont="1" applyFill="1" applyBorder="1"/>
    <xf numFmtId="0" fontId="4" fillId="9" borderId="1" xfId="0" applyFont="1" applyFill="1" applyBorder="1" applyAlignment="1">
      <alignment horizontal="center"/>
    </xf>
    <xf numFmtId="0" fontId="28" fillId="10" borderId="1" xfId="0" applyFont="1" applyFill="1" applyBorder="1"/>
    <xf numFmtId="0" fontId="5" fillId="0" borderId="1" xfId="0" applyFont="1" applyBorder="1" applyAlignment="1">
      <alignment horizontal="center"/>
    </xf>
    <xf numFmtId="0" fontId="28" fillId="8" borderId="1" xfId="0" applyFont="1" applyFill="1" applyBorder="1" applyAlignment="1">
      <alignment horizontal="center" vertical="center" wrapText="1"/>
    </xf>
    <xf numFmtId="0" fontId="1" fillId="11" borderId="1" xfId="0" applyFont="1" applyFill="1" applyBorder="1"/>
    <xf numFmtId="0" fontId="4" fillId="11" borderId="1" xfId="0" applyFont="1" applyFill="1" applyBorder="1"/>
    <xf numFmtId="0" fontId="4" fillId="11" borderId="1" xfId="0" applyFont="1" applyFill="1" applyBorder="1" applyAlignment="1">
      <alignment horizontal="center"/>
    </xf>
    <xf numFmtId="0" fontId="28" fillId="5" borderId="1"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5" fillId="0" borderId="1" xfId="0" applyFont="1" applyBorder="1" applyAlignment="1">
      <alignment vertical="center"/>
    </xf>
    <xf numFmtId="0" fontId="6" fillId="0" borderId="1" xfId="0" applyFont="1" applyBorder="1" applyAlignment="1">
      <alignment vertical="center"/>
    </xf>
    <xf numFmtId="0" fontId="7" fillId="0" borderId="1" xfId="0" applyFont="1" applyBorder="1" applyAlignment="1">
      <alignment vertical="center" wrapText="1"/>
    </xf>
    <xf numFmtId="0" fontId="0" fillId="0" borderId="1" xfId="0" applyBorder="1"/>
    <xf numFmtId="0" fontId="23" fillId="3" borderId="1" xfId="0" applyFont="1" applyFill="1" applyBorder="1" applyAlignment="1">
      <alignment vertical="top" wrapText="1"/>
    </xf>
    <xf numFmtId="0" fontId="26" fillId="2" borderId="1" xfId="0" applyFont="1" applyFill="1" applyBorder="1" applyAlignment="1">
      <alignment vertical="center" wrapText="1"/>
    </xf>
    <xf numFmtId="0" fontId="24" fillId="0" borderId="1" xfId="0" applyFont="1" applyBorder="1" applyAlignment="1">
      <alignment horizontal="center" vertical="top"/>
    </xf>
    <xf numFmtId="3" fontId="23" fillId="3" borderId="1" xfId="0" applyNumberFormat="1" applyFont="1" applyFill="1" applyBorder="1" applyAlignment="1">
      <alignment vertical="top" wrapText="1"/>
    </xf>
    <xf numFmtId="0" fontId="23" fillId="7" borderId="1" xfId="0" applyFont="1" applyFill="1" applyBorder="1" applyAlignment="1">
      <alignment vertical="top" wrapText="1"/>
    </xf>
    <xf numFmtId="3" fontId="22" fillId="7" borderId="1" xfId="0" applyNumberFormat="1" applyFont="1" applyFill="1" applyBorder="1"/>
    <xf numFmtId="0" fontId="22" fillId="7" borderId="1" xfId="0" applyFont="1" applyFill="1" applyBorder="1"/>
    <xf numFmtId="1" fontId="23" fillId="3" borderId="1" xfId="0" applyNumberFormat="1" applyFont="1" applyFill="1" applyBorder="1" applyAlignment="1">
      <alignment vertical="center" wrapText="1"/>
    </xf>
    <xf numFmtId="3" fontId="23" fillId="3" borderId="1" xfId="0" applyNumberFormat="1" applyFont="1" applyFill="1" applyBorder="1" applyAlignment="1">
      <alignment vertical="center" wrapText="1"/>
    </xf>
    <xf numFmtId="3" fontId="23" fillId="7" borderId="1" xfId="0" applyNumberFormat="1" applyFont="1" applyFill="1" applyBorder="1" applyAlignment="1">
      <alignment vertical="center" wrapText="1"/>
    </xf>
    <xf numFmtId="0" fontId="23" fillId="0" borderId="1" xfId="0" applyFont="1" applyBorder="1" applyAlignment="1">
      <alignment vertical="center" wrapText="1"/>
    </xf>
    <xf numFmtId="0" fontId="0" fillId="0" borderId="6" xfId="0" applyBorder="1"/>
    <xf numFmtId="0" fontId="21" fillId="0" borderId="1" xfId="0" applyFont="1" applyBorder="1" applyAlignment="1">
      <alignment vertical="center" wrapText="1"/>
    </xf>
    <xf numFmtId="0" fontId="0" fillId="0" borderId="5" xfId="0" applyBorder="1"/>
    <xf numFmtId="0" fontId="23" fillId="3" borderId="1" xfId="0" applyFont="1" applyFill="1" applyBorder="1" applyAlignment="1">
      <alignment vertical="center" wrapText="1"/>
    </xf>
    <xf numFmtId="0" fontId="22" fillId="0" borderId="1" xfId="0" applyFont="1" applyBorder="1" applyAlignment="1">
      <alignment vertical="center" wrapText="1"/>
    </xf>
    <xf numFmtId="0" fontId="22" fillId="7" borderId="1" xfId="0" applyFont="1" applyFill="1" applyBorder="1" applyAlignment="1">
      <alignment vertical="center" wrapText="1"/>
    </xf>
    <xf numFmtId="0" fontId="25" fillId="4" borderId="1" xfId="0" applyFont="1" applyFill="1" applyBorder="1" applyAlignment="1">
      <alignment vertical="center" wrapText="1"/>
    </xf>
    <xf numFmtId="0" fontId="23" fillId="7" borderId="1" xfId="0" applyFont="1" applyFill="1" applyBorder="1" applyAlignment="1">
      <alignment vertical="center" wrapText="1"/>
    </xf>
    <xf numFmtId="0" fontId="24" fillId="0" borderId="1" xfId="0" applyFont="1" applyBorder="1" applyAlignment="1">
      <alignment vertical="center" wrapText="1"/>
    </xf>
    <xf numFmtId="0" fontId="24" fillId="7" borderId="1" xfId="0" applyFont="1" applyFill="1" applyBorder="1" applyAlignment="1">
      <alignment vertical="center" wrapText="1"/>
    </xf>
    <xf numFmtId="0" fontId="8" fillId="2" borderId="1" xfId="0" applyFont="1" applyFill="1" applyBorder="1" applyAlignment="1">
      <alignment vertical="center" wrapText="1"/>
    </xf>
    <xf numFmtId="0" fontId="27" fillId="2" borderId="1" xfId="0" applyFont="1" applyFill="1" applyBorder="1"/>
    <xf numFmtId="0" fontId="23" fillId="3" borderId="1" xfId="0" applyFont="1" applyFill="1" applyBorder="1" applyAlignment="1">
      <alignment vertical="top" wrapText="1"/>
    </xf>
    <xf numFmtId="0" fontId="0" fillId="0" borderId="3" xfId="0" applyBorder="1"/>
    <xf numFmtId="0" fontId="0" fillId="0" borderId="4" xfId="0" applyBorder="1"/>
    <xf numFmtId="0" fontId="0" fillId="0" borderId="7" xfId="0" applyBorder="1"/>
    <xf numFmtId="0" fontId="0" fillId="0" borderId="0" xfId="0"/>
    <xf numFmtId="0" fontId="0" fillId="0" borderId="8" xfId="0" applyBorder="1"/>
    <xf numFmtId="0" fontId="0" fillId="0" borderId="9" xfId="0" applyBorder="1"/>
    <xf numFmtId="0" fontId="0" fillId="0" borderId="10" xfId="0" applyBorder="1"/>
    <xf numFmtId="0" fontId="0" fillId="0" borderId="11" xfId="0" applyBorder="1"/>
    <xf numFmtId="0" fontId="6" fillId="3" borderId="1" xfId="0" applyFont="1" applyFill="1" applyBorder="1"/>
    <xf numFmtId="0" fontId="11" fillId="4" borderId="1" xfId="0" applyFont="1" applyFill="1" applyBorder="1" applyAlignment="1">
      <alignment vertical="center"/>
    </xf>
    <xf numFmtId="0" fontId="16" fillId="0" borderId="1" xfId="0" applyFont="1" applyBorder="1" applyAlignment="1">
      <alignment vertical="center" wrapText="1"/>
    </xf>
    <xf numFmtId="0" fontId="11" fillId="5" borderId="1" xfId="0" applyFont="1" applyFill="1" applyBorder="1" applyAlignment="1">
      <alignment horizontal="center" vertical="center" wrapText="1"/>
    </xf>
    <xf numFmtId="0" fontId="8" fillId="2" borderId="0" xfId="0" applyFont="1" applyFill="1" applyAlignment="1">
      <alignment horizontal="center" vertical="center"/>
    </xf>
    <xf numFmtId="0" fontId="0" fillId="0" borderId="0" xfId="0" applyAlignment="1">
      <alignment vertical="center"/>
    </xf>
    <xf numFmtId="0" fontId="28" fillId="2" borderId="0" xfId="0" applyFont="1" applyFill="1" applyAlignment="1">
      <alignment horizontal="center" vertical="center"/>
    </xf>
    <xf numFmtId="0" fontId="1" fillId="0" borderId="0" xfId="0" applyFont="1"/>
    <xf numFmtId="0" fontId="29" fillId="0" borderId="0" xfId="0" applyFont="1" applyAlignment="1">
      <alignment horizontal="center" vertical="center" wrapText="1"/>
    </xf>
    <xf numFmtId="0" fontId="3" fillId="0" borderId="0" xfId="0" applyFont="1" applyAlignment="1">
      <alignment horizontal="center" vertical="center" wrapText="1"/>
    </xf>
    <xf numFmtId="0" fontId="30" fillId="0" borderId="0" xfId="0" applyFont="1" applyAlignment="1">
      <alignment horizontal="center" vertical="center"/>
    </xf>
    <xf numFmtId="0" fontId="1" fillId="0" borderId="0" xfId="0" applyFont="1" applyAlignment="1">
      <alignment vertical="center"/>
    </xf>
    <xf numFmtId="0" fontId="31" fillId="0" borderId="1" xfId="0" applyFont="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C1D1D"/>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2E5AA8"/>
      <rgbColor rgb="FFD9E2F3"/>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7F1D1D"/>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showGridLines="0" topLeftCell="A7" zoomScaleNormal="100" workbookViewId="0">
      <selection activeCell="C9" sqref="C9"/>
    </sheetView>
  </sheetViews>
  <sheetFormatPr defaultColWidth="8.6640625" defaultRowHeight="14.4" x14ac:dyDescent="0.3"/>
  <cols>
    <col min="1" max="1" width="3" style="3" customWidth="1"/>
    <col min="2" max="2" width="16" style="3" customWidth="1"/>
    <col min="3" max="3" width="95" style="3" customWidth="1"/>
    <col min="4" max="4" width="8.6640625" style="3" customWidth="1"/>
    <col min="5" max="16384" width="8.6640625" style="3"/>
  </cols>
  <sheetData>
    <row r="1" spans="1:3" x14ac:dyDescent="0.3">
      <c r="A1" s="4"/>
      <c r="B1" s="5" t="s">
        <v>121</v>
      </c>
      <c r="C1" s="4"/>
    </row>
    <row r="2" spans="1:3" x14ac:dyDescent="0.3">
      <c r="A2" s="4"/>
      <c r="B2" s="6" t="s">
        <v>122</v>
      </c>
      <c r="C2" s="4"/>
    </row>
    <row r="3" spans="1:3" x14ac:dyDescent="0.3">
      <c r="A3" s="4"/>
      <c r="B3" s="4"/>
      <c r="C3" s="4"/>
    </row>
    <row r="4" spans="1:3" x14ac:dyDescent="0.3">
      <c r="A4" s="4"/>
      <c r="B4" s="5" t="s">
        <v>123</v>
      </c>
      <c r="C4" s="4"/>
    </row>
    <row r="5" spans="1:3" ht="28.5" customHeight="1" x14ac:dyDescent="0.3">
      <c r="A5" s="4"/>
      <c r="B5" s="7" t="s">
        <v>124</v>
      </c>
      <c r="C5" s="8" t="s">
        <v>125</v>
      </c>
    </row>
    <row r="6" spans="1:3" ht="42.75" customHeight="1" x14ac:dyDescent="0.3">
      <c r="A6" s="4"/>
      <c r="B6" s="7" t="s">
        <v>126</v>
      </c>
      <c r="C6" s="8" t="s">
        <v>127</v>
      </c>
    </row>
    <row r="7" spans="1:3" ht="28.5" customHeight="1" x14ac:dyDescent="0.3">
      <c r="A7" s="4"/>
      <c r="B7" s="7" t="s">
        <v>128</v>
      </c>
      <c r="C7" s="8" t="s">
        <v>129</v>
      </c>
    </row>
    <row r="8" spans="1:3" ht="28.5" customHeight="1" x14ac:dyDescent="0.3">
      <c r="A8" s="4"/>
      <c r="B8" s="7" t="s">
        <v>130</v>
      </c>
      <c r="C8" s="8" t="s">
        <v>131</v>
      </c>
    </row>
    <row r="9" spans="1:3" ht="28.5" customHeight="1" x14ac:dyDescent="0.3">
      <c r="A9" s="4"/>
      <c r="B9" s="7" t="s">
        <v>132</v>
      </c>
      <c r="C9" s="8" t="s">
        <v>133</v>
      </c>
    </row>
    <row r="10" spans="1:3" ht="72" customHeight="1" x14ac:dyDescent="0.3">
      <c r="A10" s="4"/>
      <c r="B10" s="47" t="s">
        <v>134</v>
      </c>
      <c r="C10" s="48" t="s">
        <v>135</v>
      </c>
    </row>
    <row r="11" spans="1:3" x14ac:dyDescent="0.3">
      <c r="A11" s="4"/>
      <c r="B11" s="4"/>
      <c r="C11" s="4"/>
    </row>
    <row r="12" spans="1:3" x14ac:dyDescent="0.3">
      <c r="A12" s="4"/>
      <c r="B12" s="5" t="s">
        <v>136</v>
      </c>
      <c r="C12" s="4"/>
    </row>
    <row r="13" spans="1:3" x14ac:dyDescent="0.3">
      <c r="A13" s="4"/>
      <c r="B13" s="7" t="s">
        <v>137</v>
      </c>
      <c r="C13" s="8" t="s">
        <v>138</v>
      </c>
    </row>
    <row r="14" spans="1:3" x14ac:dyDescent="0.3">
      <c r="A14" s="4"/>
      <c r="B14" s="7" t="s">
        <v>139</v>
      </c>
      <c r="C14" s="8" t="s">
        <v>140</v>
      </c>
    </row>
    <row r="15" spans="1:3" x14ac:dyDescent="0.3">
      <c r="A15" s="4"/>
      <c r="B15" s="7" t="s">
        <v>141</v>
      </c>
      <c r="C15" s="8" t="s">
        <v>142</v>
      </c>
    </row>
    <row r="16" spans="1:3" ht="28.5" customHeight="1" x14ac:dyDescent="0.3">
      <c r="A16" s="4"/>
      <c r="B16" s="4"/>
      <c r="C16" s="4"/>
    </row>
    <row r="17" spans="1:3" ht="28.8" customHeight="1" x14ac:dyDescent="0.3">
      <c r="A17" s="4"/>
      <c r="B17" s="7" t="s">
        <v>143</v>
      </c>
      <c r="C17" s="8" t="s">
        <v>144</v>
      </c>
    </row>
    <row r="18" spans="1:3" x14ac:dyDescent="0.3">
      <c r="A18" s="4"/>
      <c r="B18" s="4"/>
      <c r="C18" s="4"/>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9"/>
  <sheetViews>
    <sheetView showGridLines="0" tabSelected="1" topLeftCell="A68" zoomScaleNormal="100" workbookViewId="0">
      <selection activeCell="B15" sqref="B15"/>
    </sheetView>
  </sheetViews>
  <sheetFormatPr defaultColWidth="8.6640625" defaultRowHeight="14.4" x14ac:dyDescent="0.3"/>
  <cols>
    <col min="1" max="1" width="28.44140625" style="9" customWidth="1"/>
    <col min="2" max="2" width="42" style="9" customWidth="1"/>
    <col min="3" max="3" width="60" style="9" customWidth="1"/>
    <col min="4" max="4" width="28.6640625" style="9" customWidth="1"/>
    <col min="5" max="5" width="37.44140625" style="9" customWidth="1"/>
    <col min="6" max="6" width="9" style="9" customWidth="1"/>
    <col min="7" max="8" width="10" style="9" customWidth="1"/>
    <col min="9" max="9" width="46" style="9" customWidth="1"/>
    <col min="10" max="10" width="8.6640625" style="9" customWidth="1"/>
    <col min="11" max="16384" width="8.6640625" style="9"/>
  </cols>
  <sheetData>
    <row r="1" spans="1:9" ht="16.5" customHeight="1" x14ac:dyDescent="0.3">
      <c r="A1" s="86" t="s">
        <v>145</v>
      </c>
      <c r="B1" s="87"/>
      <c r="C1" s="87"/>
      <c r="D1" s="87"/>
      <c r="E1" s="87"/>
      <c r="F1" s="87"/>
      <c r="G1" s="87"/>
      <c r="H1" s="87"/>
      <c r="I1" s="87"/>
    </row>
    <row r="3" spans="1:9" x14ac:dyDescent="0.3">
      <c r="A3" s="10" t="s">
        <v>2</v>
      </c>
      <c r="B3" s="11" t="s">
        <v>146</v>
      </c>
      <c r="D3" s="10" t="s">
        <v>147</v>
      </c>
      <c r="E3" s="12" t="s">
        <v>148</v>
      </c>
    </row>
    <row r="4" spans="1:9" x14ac:dyDescent="0.3">
      <c r="A4" s="10" t="s">
        <v>4</v>
      </c>
      <c r="B4" s="11" t="s">
        <v>149</v>
      </c>
    </row>
    <row r="5" spans="1:9" x14ac:dyDescent="0.3">
      <c r="A5" s="10" t="s">
        <v>6</v>
      </c>
      <c r="B5" s="11" t="s">
        <v>150</v>
      </c>
    </row>
    <row r="6" spans="1:9" x14ac:dyDescent="0.3">
      <c r="A6" s="10" t="s">
        <v>8</v>
      </c>
      <c r="B6" s="11" t="s">
        <v>151</v>
      </c>
    </row>
    <row r="7" spans="1:9" x14ac:dyDescent="0.3">
      <c r="A7" s="10" t="s">
        <v>11</v>
      </c>
      <c r="B7" s="11">
        <v>7.9</v>
      </c>
    </row>
    <row r="8" spans="1:9" x14ac:dyDescent="0.3">
      <c r="A8" s="10" t="s">
        <v>10</v>
      </c>
      <c r="B8" s="11"/>
    </row>
    <row r="10" spans="1:9" x14ac:dyDescent="0.3">
      <c r="A10" s="13" t="s">
        <v>152</v>
      </c>
      <c r="B10" s="13" t="s">
        <v>153</v>
      </c>
      <c r="C10" s="13" t="s">
        <v>154</v>
      </c>
      <c r="D10" s="13" t="s">
        <v>155</v>
      </c>
      <c r="E10" s="13" t="s">
        <v>156</v>
      </c>
      <c r="F10" s="13" t="s">
        <v>157</v>
      </c>
      <c r="G10" s="13" t="s">
        <v>158</v>
      </c>
      <c r="H10" s="13" t="s">
        <v>159</v>
      </c>
      <c r="I10" s="13" t="s">
        <v>160</v>
      </c>
    </row>
    <row r="11" spans="1:9" x14ac:dyDescent="0.3">
      <c r="A11" s="83" t="s">
        <v>161</v>
      </c>
      <c r="B11" s="63"/>
      <c r="C11" s="63"/>
      <c r="D11" s="63"/>
      <c r="E11" s="61"/>
      <c r="F11" s="2">
        <v>8</v>
      </c>
      <c r="G11" s="14"/>
      <c r="H11" s="14"/>
      <c r="I11" s="14"/>
    </row>
    <row r="12" spans="1:9" ht="27" customHeight="1" x14ac:dyDescent="0.3">
      <c r="A12" s="15" t="s">
        <v>162</v>
      </c>
      <c r="B12" s="16" t="s">
        <v>163</v>
      </c>
      <c r="C12" s="16" t="s">
        <v>164</v>
      </c>
      <c r="D12" s="16" t="s">
        <v>165</v>
      </c>
      <c r="E12" s="17" t="s">
        <v>118</v>
      </c>
      <c r="F12" s="18">
        <v>2</v>
      </c>
      <c r="G12" s="19" t="s">
        <v>166</v>
      </c>
      <c r="H12" s="20">
        <f>IF(G12="N/A",0,F12*IF(G12="Full",1,IF(G12="Partial",0.5,0)))</f>
        <v>0</v>
      </c>
      <c r="I12" s="21" t="s">
        <v>167</v>
      </c>
    </row>
    <row r="13" spans="1:9" ht="41.25" customHeight="1" x14ac:dyDescent="0.3">
      <c r="A13" s="15" t="s">
        <v>168</v>
      </c>
      <c r="B13" s="16" t="s">
        <v>169</v>
      </c>
      <c r="C13" s="16" t="s">
        <v>170</v>
      </c>
      <c r="D13" s="16" t="s">
        <v>171</v>
      </c>
      <c r="E13" s="17" t="s">
        <v>118</v>
      </c>
      <c r="F13" s="18">
        <v>2</v>
      </c>
      <c r="G13" s="19" t="s">
        <v>172</v>
      </c>
      <c r="H13" s="20">
        <f>IF(G13="N/A",0,F13*IF(G13="Full",1,IF(G13="Partial",0.5,0)))</f>
        <v>1</v>
      </c>
      <c r="I13" s="21" t="s">
        <v>173</v>
      </c>
    </row>
    <row r="14" spans="1:9" ht="27" customHeight="1" x14ac:dyDescent="0.3">
      <c r="A14" s="15" t="s">
        <v>174</v>
      </c>
      <c r="B14" s="16" t="s">
        <v>175</v>
      </c>
      <c r="C14" s="16" t="s">
        <v>176</v>
      </c>
      <c r="D14" s="16" t="s">
        <v>177</v>
      </c>
      <c r="E14" s="18" t="s">
        <v>178</v>
      </c>
      <c r="F14" s="18">
        <v>2</v>
      </c>
      <c r="G14" s="19" t="s">
        <v>179</v>
      </c>
      <c r="H14" s="20">
        <f>IF(G14="N/A",0,F14*IF(G14="Full",1,IF(G14="Partial",0.5,0)))</f>
        <v>2</v>
      </c>
      <c r="I14" s="21" t="s">
        <v>180</v>
      </c>
    </row>
    <row r="15" spans="1:9" ht="27" customHeight="1" x14ac:dyDescent="0.3">
      <c r="A15" s="15" t="s">
        <v>181</v>
      </c>
      <c r="B15" s="16" t="s">
        <v>182</v>
      </c>
      <c r="C15" s="16" t="s">
        <v>183</v>
      </c>
      <c r="D15" s="16" t="s">
        <v>184</v>
      </c>
      <c r="E15" s="18" t="s">
        <v>178</v>
      </c>
      <c r="F15" s="18">
        <v>1</v>
      </c>
      <c r="G15" s="19" t="s">
        <v>179</v>
      </c>
      <c r="H15" s="20">
        <f>IF(G15="N/A",0,F15*IF(G15="Full",1,IF(G15="Partial",0.5,0)))</f>
        <v>1</v>
      </c>
      <c r="I15" s="21" t="s">
        <v>185</v>
      </c>
    </row>
    <row r="16" spans="1:9" ht="27" customHeight="1" x14ac:dyDescent="0.3">
      <c r="A16" s="15" t="s">
        <v>186</v>
      </c>
      <c r="B16" s="16" t="s">
        <v>187</v>
      </c>
      <c r="C16" s="16" t="s">
        <v>188</v>
      </c>
      <c r="D16" s="16" t="s">
        <v>189</v>
      </c>
      <c r="E16" s="18" t="s">
        <v>178</v>
      </c>
      <c r="F16" s="18">
        <v>1</v>
      </c>
      <c r="G16" s="19" t="s">
        <v>172</v>
      </c>
      <c r="H16" s="20">
        <f>IF(G16="N/A",0,F16*IF(G16="Full",1,IF(G16="Partial",0.5,0)))</f>
        <v>0.5</v>
      </c>
      <c r="I16" s="21" t="s">
        <v>190</v>
      </c>
    </row>
    <row r="17" spans="1:9" x14ac:dyDescent="0.3">
      <c r="A17" s="83" t="s">
        <v>191</v>
      </c>
      <c r="B17" s="63"/>
      <c r="C17" s="63"/>
      <c r="D17" s="63"/>
      <c r="E17" s="61"/>
      <c r="F17" s="2">
        <v>12</v>
      </c>
      <c r="G17" s="14"/>
      <c r="H17" s="14"/>
      <c r="I17" s="14"/>
    </row>
    <row r="18" spans="1:9" ht="27" customHeight="1" x14ac:dyDescent="0.3">
      <c r="A18" s="15" t="s">
        <v>192</v>
      </c>
      <c r="B18" s="16" t="s">
        <v>193</v>
      </c>
      <c r="C18" s="16" t="s">
        <v>194</v>
      </c>
      <c r="D18" s="16" t="s">
        <v>195</v>
      </c>
      <c r="E18" s="17" t="s">
        <v>118</v>
      </c>
      <c r="F18" s="18">
        <v>3</v>
      </c>
      <c r="G18" s="19" t="s">
        <v>172</v>
      </c>
      <c r="H18" s="20">
        <f>IF(G18="N/A",0,F18*IF(G18="Full",1,IF(G18="Partial",0.5,0)))</f>
        <v>1.5</v>
      </c>
      <c r="I18" s="21" t="s">
        <v>196</v>
      </c>
    </row>
    <row r="19" spans="1:9" ht="41.25" customHeight="1" x14ac:dyDescent="0.3">
      <c r="A19" s="15" t="s">
        <v>197</v>
      </c>
      <c r="B19" s="16" t="s">
        <v>198</v>
      </c>
      <c r="C19" s="16" t="s">
        <v>199</v>
      </c>
      <c r="D19" s="16" t="s">
        <v>200</v>
      </c>
      <c r="E19" s="18" t="s">
        <v>118</v>
      </c>
      <c r="F19" s="18">
        <v>3</v>
      </c>
      <c r="G19" s="19" t="s">
        <v>172</v>
      </c>
      <c r="H19" s="20">
        <f>IF(G19="N/A",0,F19*IF(G19="Full",1,IF(G19="Partial",0.5,0)))</f>
        <v>1.5</v>
      </c>
      <c r="I19" s="21" t="s">
        <v>201</v>
      </c>
    </row>
    <row r="20" spans="1:9" ht="41.25" customHeight="1" x14ac:dyDescent="0.3">
      <c r="A20" s="15" t="s">
        <v>202</v>
      </c>
      <c r="B20" s="16" t="s">
        <v>203</v>
      </c>
      <c r="C20" s="16" t="s">
        <v>204</v>
      </c>
      <c r="D20" s="16" t="s">
        <v>205</v>
      </c>
      <c r="E20" s="18" t="s">
        <v>118</v>
      </c>
      <c r="F20" s="18">
        <v>2</v>
      </c>
      <c r="G20" s="19" t="s">
        <v>166</v>
      </c>
      <c r="H20" s="20">
        <f>IF(G20="N/A",0,F20*IF(G20="Full",1,IF(G20="Partial",0.5,0)))</f>
        <v>0</v>
      </c>
      <c r="I20" s="21" t="s">
        <v>206</v>
      </c>
    </row>
    <row r="21" spans="1:9" ht="27" customHeight="1" x14ac:dyDescent="0.3">
      <c r="A21" s="15" t="s">
        <v>207</v>
      </c>
      <c r="B21" s="16" t="s">
        <v>208</v>
      </c>
      <c r="C21" s="16" t="s">
        <v>209</v>
      </c>
      <c r="D21" s="16" t="s">
        <v>210</v>
      </c>
      <c r="E21" s="18" t="s">
        <v>118</v>
      </c>
      <c r="F21" s="18">
        <v>2</v>
      </c>
      <c r="G21" s="19" t="s">
        <v>179</v>
      </c>
      <c r="H21" s="20">
        <f>IF(G21="N/A",0,F21*IF(G21="Full",1,IF(G21="Partial",0.5,0)))</f>
        <v>2</v>
      </c>
      <c r="I21" s="21" t="s">
        <v>211</v>
      </c>
    </row>
    <row r="22" spans="1:9" ht="27" customHeight="1" x14ac:dyDescent="0.3">
      <c r="A22" s="15" t="s">
        <v>212</v>
      </c>
      <c r="B22" s="16" t="s">
        <v>213</v>
      </c>
      <c r="C22" s="16" t="s">
        <v>214</v>
      </c>
      <c r="D22" s="16" t="s">
        <v>215</v>
      </c>
      <c r="E22" s="17" t="s">
        <v>178</v>
      </c>
      <c r="F22" s="18">
        <v>2</v>
      </c>
      <c r="G22" s="19" t="s">
        <v>179</v>
      </c>
      <c r="H22" s="20">
        <f>IF(G22="N/A",0,F22*IF(G22="Full",1,IF(G22="Partial",0.5,0)))</f>
        <v>2</v>
      </c>
      <c r="I22" s="21" t="s">
        <v>216</v>
      </c>
    </row>
    <row r="23" spans="1:9" x14ac:dyDescent="0.3">
      <c r="A23" s="83" t="s">
        <v>217</v>
      </c>
      <c r="B23" s="63"/>
      <c r="C23" s="63"/>
      <c r="D23" s="63"/>
      <c r="E23" s="61"/>
      <c r="F23" s="2">
        <v>10</v>
      </c>
      <c r="G23" s="14"/>
      <c r="H23" s="14"/>
      <c r="I23" s="14"/>
    </row>
    <row r="24" spans="1:9" ht="41.25" customHeight="1" x14ac:dyDescent="0.3">
      <c r="A24" s="15" t="s">
        <v>218</v>
      </c>
      <c r="B24" s="16" t="s">
        <v>219</v>
      </c>
      <c r="C24" s="16" t="s">
        <v>220</v>
      </c>
      <c r="D24" s="16" t="s">
        <v>221</v>
      </c>
      <c r="E24" s="17" t="s">
        <v>118</v>
      </c>
      <c r="F24" s="18">
        <v>4</v>
      </c>
      <c r="G24" s="19" t="s">
        <v>172</v>
      </c>
      <c r="H24" s="20">
        <f>IF(G24="N/A",0,F24*IF(G24="Full",1,IF(G24="Partial",0.5,0)))</f>
        <v>2</v>
      </c>
      <c r="I24" s="21" t="s">
        <v>222</v>
      </c>
    </row>
    <row r="25" spans="1:9" ht="27" customHeight="1" x14ac:dyDescent="0.3">
      <c r="A25" s="15" t="s">
        <v>223</v>
      </c>
      <c r="B25" s="16" t="s">
        <v>224</v>
      </c>
      <c r="C25" s="16" t="s">
        <v>225</v>
      </c>
      <c r="D25" s="16" t="s">
        <v>226</v>
      </c>
      <c r="E25" s="17" t="s">
        <v>118</v>
      </c>
      <c r="F25" s="18">
        <v>3</v>
      </c>
      <c r="G25" s="19" t="s">
        <v>172</v>
      </c>
      <c r="H25" s="20">
        <f>IF(G25="N/A",0,F25*IF(G25="Full",1,IF(G25="Partial",0.5,0)))</f>
        <v>1.5</v>
      </c>
      <c r="I25" s="21" t="s">
        <v>227</v>
      </c>
    </row>
    <row r="26" spans="1:9" ht="27" customHeight="1" x14ac:dyDescent="0.3">
      <c r="A26" s="15" t="s">
        <v>228</v>
      </c>
      <c r="B26" s="16" t="s">
        <v>229</v>
      </c>
      <c r="C26" s="16" t="s">
        <v>230</v>
      </c>
      <c r="D26" s="16" t="s">
        <v>231</v>
      </c>
      <c r="E26" s="18" t="s">
        <v>178</v>
      </c>
      <c r="F26" s="18">
        <v>3</v>
      </c>
      <c r="G26" s="19" t="s">
        <v>166</v>
      </c>
      <c r="H26" s="20">
        <f>IF(G26="N/A",0,F26*IF(G26="Full",1,IF(G26="Partial",0.5,0)))</f>
        <v>0</v>
      </c>
      <c r="I26" s="21" t="s">
        <v>232</v>
      </c>
    </row>
    <row r="27" spans="1:9" x14ac:dyDescent="0.3">
      <c r="A27" s="83" t="s">
        <v>233</v>
      </c>
      <c r="B27" s="63"/>
      <c r="C27" s="63"/>
      <c r="D27" s="63"/>
      <c r="E27" s="61"/>
      <c r="F27" s="2">
        <v>20</v>
      </c>
      <c r="G27" s="14"/>
      <c r="H27" s="14"/>
      <c r="I27" s="14"/>
    </row>
    <row r="28" spans="1:9" ht="41.25" customHeight="1" x14ac:dyDescent="0.3">
      <c r="A28" s="15" t="s">
        <v>234</v>
      </c>
      <c r="B28" s="16" t="s">
        <v>235</v>
      </c>
      <c r="C28" s="16" t="s">
        <v>236</v>
      </c>
      <c r="D28" s="16" t="s">
        <v>237</v>
      </c>
      <c r="E28" s="18" t="s">
        <v>178</v>
      </c>
      <c r="F28" s="18">
        <v>3</v>
      </c>
      <c r="G28" s="19" t="s">
        <v>179</v>
      </c>
      <c r="H28" s="20">
        <f t="shared" ref="H28:H33" si="0">IF(G28="N/A",0,F28*IF(G28="Full",1,IF(G28="Partial",0.5,0)))</f>
        <v>3</v>
      </c>
      <c r="I28" s="21" t="s">
        <v>238</v>
      </c>
    </row>
    <row r="29" spans="1:9" ht="41.25" customHeight="1" x14ac:dyDescent="0.3">
      <c r="A29" s="15" t="s">
        <v>239</v>
      </c>
      <c r="B29" s="16" t="s">
        <v>240</v>
      </c>
      <c r="C29" s="16" t="s">
        <v>241</v>
      </c>
      <c r="D29" s="16" t="s">
        <v>242</v>
      </c>
      <c r="E29" s="18" t="s">
        <v>178</v>
      </c>
      <c r="F29" s="18">
        <v>2</v>
      </c>
      <c r="G29" s="19" t="s">
        <v>166</v>
      </c>
      <c r="H29" s="20">
        <f t="shared" si="0"/>
        <v>0</v>
      </c>
      <c r="I29" s="21" t="s">
        <v>243</v>
      </c>
    </row>
    <row r="30" spans="1:9" ht="41.25" customHeight="1" x14ac:dyDescent="0.3">
      <c r="A30" s="15" t="s">
        <v>244</v>
      </c>
      <c r="B30" s="16" t="s">
        <v>245</v>
      </c>
      <c r="C30" s="16" t="s">
        <v>246</v>
      </c>
      <c r="D30" s="16" t="s">
        <v>247</v>
      </c>
      <c r="E30" s="17" t="s">
        <v>118</v>
      </c>
      <c r="F30" s="18">
        <v>5</v>
      </c>
      <c r="G30" s="19" t="s">
        <v>172</v>
      </c>
      <c r="H30" s="20">
        <f t="shared" si="0"/>
        <v>2.5</v>
      </c>
      <c r="I30" s="21" t="s">
        <v>248</v>
      </c>
    </row>
    <row r="31" spans="1:9" ht="41.25" customHeight="1" x14ac:dyDescent="0.3">
      <c r="A31" s="15" t="s">
        <v>249</v>
      </c>
      <c r="B31" s="16" t="s">
        <v>250</v>
      </c>
      <c r="C31" s="16" t="s">
        <v>251</v>
      </c>
      <c r="D31" s="16" t="s">
        <v>252</v>
      </c>
      <c r="E31" s="18" t="s">
        <v>178</v>
      </c>
      <c r="F31" s="18">
        <v>4</v>
      </c>
      <c r="G31" s="19" t="s">
        <v>172</v>
      </c>
      <c r="H31" s="20">
        <f t="shared" si="0"/>
        <v>2</v>
      </c>
      <c r="I31" s="21" t="s">
        <v>253</v>
      </c>
    </row>
    <row r="32" spans="1:9" ht="41.25" customHeight="1" x14ac:dyDescent="0.3">
      <c r="A32" s="15" t="s">
        <v>254</v>
      </c>
      <c r="B32" s="16" t="s">
        <v>255</v>
      </c>
      <c r="C32" s="16" t="s">
        <v>256</v>
      </c>
      <c r="D32" s="16" t="s">
        <v>257</v>
      </c>
      <c r="E32" s="18" t="s">
        <v>178</v>
      </c>
      <c r="F32" s="18">
        <v>3</v>
      </c>
      <c r="G32" s="19" t="s">
        <v>172</v>
      </c>
      <c r="H32" s="20">
        <f t="shared" si="0"/>
        <v>1.5</v>
      </c>
      <c r="I32" s="21" t="s">
        <v>258</v>
      </c>
    </row>
    <row r="33" spans="1:9" ht="41.25" customHeight="1" x14ac:dyDescent="0.3">
      <c r="A33" s="15" t="s">
        <v>259</v>
      </c>
      <c r="B33" s="16" t="s">
        <v>260</v>
      </c>
      <c r="C33" s="16" t="s">
        <v>261</v>
      </c>
      <c r="D33" s="16" t="s">
        <v>262</v>
      </c>
      <c r="E33" s="18" t="s">
        <v>178</v>
      </c>
      <c r="F33" s="18">
        <v>3</v>
      </c>
      <c r="G33" s="19" t="s">
        <v>166</v>
      </c>
      <c r="H33" s="20">
        <f t="shared" si="0"/>
        <v>0</v>
      </c>
      <c r="I33" s="21" t="s">
        <v>263</v>
      </c>
    </row>
    <row r="34" spans="1:9" x14ac:dyDescent="0.3">
      <c r="A34" s="83" t="s">
        <v>264</v>
      </c>
      <c r="B34" s="63"/>
      <c r="C34" s="63"/>
      <c r="D34" s="63"/>
      <c r="E34" s="61"/>
      <c r="F34" s="2">
        <v>12</v>
      </c>
      <c r="G34" s="14"/>
      <c r="H34" s="14"/>
      <c r="I34" s="14"/>
    </row>
    <row r="35" spans="1:9" ht="41.25" customHeight="1" x14ac:dyDescent="0.3">
      <c r="A35" s="15" t="s">
        <v>265</v>
      </c>
      <c r="B35" s="16" t="s">
        <v>266</v>
      </c>
      <c r="C35" s="16" t="s">
        <v>267</v>
      </c>
      <c r="D35" s="16" t="s">
        <v>268</v>
      </c>
      <c r="E35" s="17" t="s">
        <v>118</v>
      </c>
      <c r="F35" s="18">
        <v>5</v>
      </c>
      <c r="G35" s="19" t="s">
        <v>172</v>
      </c>
      <c r="H35" s="20">
        <f>IF(G35="N/A",0,F35*IF(G35="Full",1,IF(G35="Partial",0.5,0)))</f>
        <v>2.5</v>
      </c>
      <c r="I35" s="21" t="s">
        <v>269</v>
      </c>
    </row>
    <row r="36" spans="1:9" ht="41.25" customHeight="1" x14ac:dyDescent="0.3">
      <c r="A36" s="15" t="s">
        <v>270</v>
      </c>
      <c r="B36" s="16" t="s">
        <v>271</v>
      </c>
      <c r="C36" s="16" t="s">
        <v>272</v>
      </c>
      <c r="D36" s="16" t="s">
        <v>273</v>
      </c>
      <c r="E36" s="18" t="s">
        <v>178</v>
      </c>
      <c r="F36" s="18">
        <v>3</v>
      </c>
      <c r="G36" s="19" t="s">
        <v>172</v>
      </c>
      <c r="H36" s="20">
        <f>IF(G36="N/A",0,F36*IF(G36="Full",1,IF(G36="Partial",0.5,0)))</f>
        <v>1.5</v>
      </c>
      <c r="I36" s="21" t="s">
        <v>274</v>
      </c>
    </row>
    <row r="37" spans="1:9" ht="27" customHeight="1" x14ac:dyDescent="0.3">
      <c r="A37" s="15" t="s">
        <v>275</v>
      </c>
      <c r="B37" s="16" t="s">
        <v>276</v>
      </c>
      <c r="C37" s="16" t="s">
        <v>277</v>
      </c>
      <c r="D37" s="16" t="s">
        <v>278</v>
      </c>
      <c r="E37" s="18" t="s">
        <v>178</v>
      </c>
      <c r="F37" s="18">
        <v>2</v>
      </c>
      <c r="G37" s="19" t="s">
        <v>179</v>
      </c>
      <c r="H37" s="20">
        <f>IF(G37="N/A",0,F37*IF(G37="Full",1,IF(G37="Partial",0.5,0)))</f>
        <v>2</v>
      </c>
      <c r="I37" s="21" t="s">
        <v>279</v>
      </c>
    </row>
    <row r="38" spans="1:9" ht="41.4" x14ac:dyDescent="0.3">
      <c r="A38" s="15" t="s">
        <v>280</v>
      </c>
      <c r="B38" s="16" t="s">
        <v>281</v>
      </c>
      <c r="C38" s="16" t="s">
        <v>282</v>
      </c>
      <c r="D38" s="16" t="s">
        <v>283</v>
      </c>
      <c r="E38" s="18" t="s">
        <v>178</v>
      </c>
      <c r="F38" s="18">
        <v>2</v>
      </c>
      <c r="G38" s="19" t="s">
        <v>179</v>
      </c>
      <c r="H38" s="20">
        <f>IF(G38="N/A",0,F38*IF(G38="Full",1,IF(G38="Partial",0.5,0)))</f>
        <v>2</v>
      </c>
      <c r="I38" s="21" t="s">
        <v>284</v>
      </c>
    </row>
    <row r="39" spans="1:9" x14ac:dyDescent="0.3">
      <c r="A39" s="83" t="s">
        <v>285</v>
      </c>
      <c r="B39" s="63"/>
      <c r="C39" s="63"/>
      <c r="D39" s="63"/>
      <c r="E39" s="61"/>
      <c r="F39" s="2">
        <v>8</v>
      </c>
      <c r="G39" s="14"/>
      <c r="H39" s="14"/>
      <c r="I39" s="14"/>
    </row>
    <row r="40" spans="1:9" ht="27" customHeight="1" x14ac:dyDescent="0.3">
      <c r="A40" s="15" t="s">
        <v>286</v>
      </c>
      <c r="B40" s="16" t="s">
        <v>287</v>
      </c>
      <c r="C40" s="16" t="s">
        <v>288</v>
      </c>
      <c r="D40" s="16" t="s">
        <v>289</v>
      </c>
      <c r="E40" s="18" t="s">
        <v>178</v>
      </c>
      <c r="F40" s="18">
        <v>2</v>
      </c>
      <c r="G40" s="19" t="s">
        <v>172</v>
      </c>
      <c r="H40" s="20">
        <f>IF(G40="N/A",0,F40*IF(G40="Full",1,IF(G40="Partial",0.5,0)))</f>
        <v>1</v>
      </c>
      <c r="I40" s="21" t="s">
        <v>290</v>
      </c>
    </row>
    <row r="41" spans="1:9" ht="27" customHeight="1" x14ac:dyDescent="0.3">
      <c r="A41" s="15" t="s">
        <v>291</v>
      </c>
      <c r="B41" s="16" t="s">
        <v>292</v>
      </c>
      <c r="C41" s="16" t="s">
        <v>293</v>
      </c>
      <c r="D41" s="16" t="s">
        <v>294</v>
      </c>
      <c r="E41" s="17" t="s">
        <v>118</v>
      </c>
      <c r="F41" s="18">
        <v>3</v>
      </c>
      <c r="G41" s="19" t="s">
        <v>166</v>
      </c>
      <c r="H41" s="20">
        <f>IF(G41="N/A",0,F41*IF(G41="Full",1,IF(G41="Partial",0.5,0)))</f>
        <v>0</v>
      </c>
      <c r="I41" s="21" t="s">
        <v>295</v>
      </c>
    </row>
    <row r="42" spans="1:9" ht="27" customHeight="1" x14ac:dyDescent="0.3">
      <c r="A42" s="15" t="s">
        <v>296</v>
      </c>
      <c r="B42" s="16" t="s">
        <v>297</v>
      </c>
      <c r="C42" s="16" t="s">
        <v>298</v>
      </c>
      <c r="D42" s="16" t="s">
        <v>299</v>
      </c>
      <c r="E42" s="18" t="s">
        <v>178</v>
      </c>
      <c r="F42" s="18">
        <v>3</v>
      </c>
      <c r="G42" s="19" t="s">
        <v>179</v>
      </c>
      <c r="H42" s="20">
        <f>IF(G42="N/A",0,F42*IF(G42="Full",1,IF(G42="Partial",0.5,0)))</f>
        <v>3</v>
      </c>
      <c r="I42" s="21" t="s">
        <v>300</v>
      </c>
    </row>
    <row r="43" spans="1:9" x14ac:dyDescent="0.3">
      <c r="A43" s="83" t="s">
        <v>301</v>
      </c>
      <c r="B43" s="63"/>
      <c r="C43" s="63"/>
      <c r="D43" s="63"/>
      <c r="E43" s="61"/>
      <c r="F43" s="2">
        <v>8</v>
      </c>
      <c r="G43" s="14"/>
      <c r="H43" s="14"/>
      <c r="I43" s="14"/>
    </row>
    <row r="44" spans="1:9" ht="27" customHeight="1" x14ac:dyDescent="0.3">
      <c r="A44" s="15" t="s">
        <v>302</v>
      </c>
      <c r="B44" s="16" t="s">
        <v>303</v>
      </c>
      <c r="C44" s="16" t="s">
        <v>304</v>
      </c>
      <c r="D44" s="16" t="s">
        <v>305</v>
      </c>
      <c r="E44" s="18" t="s">
        <v>178</v>
      </c>
      <c r="F44" s="18">
        <v>3</v>
      </c>
      <c r="G44" s="19" t="s">
        <v>172</v>
      </c>
      <c r="H44" s="20">
        <f>IF(G44="N/A",0,F44*IF(G44="Full",1,IF(G44="Partial",0.5,0)))</f>
        <v>1.5</v>
      </c>
      <c r="I44" s="21" t="s">
        <v>306</v>
      </c>
    </row>
    <row r="45" spans="1:9" ht="27" customHeight="1" x14ac:dyDescent="0.3">
      <c r="A45" s="15" t="s">
        <v>307</v>
      </c>
      <c r="B45" s="16" t="s">
        <v>308</v>
      </c>
      <c r="C45" s="16" t="s">
        <v>309</v>
      </c>
      <c r="D45" s="16" t="s">
        <v>310</v>
      </c>
      <c r="E45" s="18" t="s">
        <v>178</v>
      </c>
      <c r="F45" s="18">
        <v>2</v>
      </c>
      <c r="G45" s="19" t="s">
        <v>179</v>
      </c>
      <c r="H45" s="20">
        <f>IF(G45="N/A",0,F45*IF(G45="Full",1,IF(G45="Partial",0.5,0)))</f>
        <v>2</v>
      </c>
      <c r="I45" s="21" t="s">
        <v>311</v>
      </c>
    </row>
    <row r="46" spans="1:9" ht="27" customHeight="1" x14ac:dyDescent="0.3">
      <c r="A46" s="15" t="s">
        <v>312</v>
      </c>
      <c r="B46" s="16" t="s">
        <v>313</v>
      </c>
      <c r="C46" s="16" t="s">
        <v>314</v>
      </c>
      <c r="D46" s="16" t="s">
        <v>315</v>
      </c>
      <c r="E46" s="17" t="s">
        <v>118</v>
      </c>
      <c r="F46" s="18">
        <v>3</v>
      </c>
      <c r="G46" s="19" t="s">
        <v>179</v>
      </c>
      <c r="H46" s="20">
        <f>IF(G46="N/A",0,F46*IF(G46="Full",1,IF(G46="Partial",0.5,0)))</f>
        <v>3</v>
      </c>
      <c r="I46" s="21" t="s">
        <v>316</v>
      </c>
    </row>
    <row r="47" spans="1:9" x14ac:dyDescent="0.3">
      <c r="A47" s="83" t="s">
        <v>317</v>
      </c>
      <c r="B47" s="63"/>
      <c r="C47" s="63"/>
      <c r="D47" s="63"/>
      <c r="E47" s="61"/>
      <c r="F47" s="2">
        <v>8</v>
      </c>
      <c r="G47" s="14"/>
      <c r="H47" s="14"/>
      <c r="I47" s="14"/>
    </row>
    <row r="48" spans="1:9" ht="41.25" customHeight="1" x14ac:dyDescent="0.3">
      <c r="A48" s="15" t="s">
        <v>318</v>
      </c>
      <c r="B48" s="16" t="s">
        <v>319</v>
      </c>
      <c r="C48" s="16" t="s">
        <v>320</v>
      </c>
      <c r="D48" s="16" t="s">
        <v>321</v>
      </c>
      <c r="E48" s="18" t="s">
        <v>178</v>
      </c>
      <c r="F48" s="18">
        <v>3</v>
      </c>
      <c r="G48" s="19" t="s">
        <v>179</v>
      </c>
      <c r="H48" s="20">
        <f>IF(G48="N/A",0,F48*IF(G48="Full",1,IF(G48="Partial",0.5,0)))</f>
        <v>3</v>
      </c>
      <c r="I48" s="21" t="s">
        <v>322</v>
      </c>
    </row>
    <row r="49" spans="1:9" ht="27" customHeight="1" x14ac:dyDescent="0.3">
      <c r="A49" s="15" t="s">
        <v>323</v>
      </c>
      <c r="B49" s="16" t="s">
        <v>324</v>
      </c>
      <c r="C49" s="16" t="s">
        <v>325</v>
      </c>
      <c r="D49" s="16" t="s">
        <v>326</v>
      </c>
      <c r="E49" s="18" t="s">
        <v>178</v>
      </c>
      <c r="F49" s="18">
        <v>2</v>
      </c>
      <c r="G49" s="19" t="s">
        <v>172</v>
      </c>
      <c r="H49" s="20">
        <f>IF(G49="N/A",0,F49*IF(G49="Full",1,IF(G49="Partial",0.5,0)))</f>
        <v>1</v>
      </c>
      <c r="I49" s="21" t="s">
        <v>327</v>
      </c>
    </row>
    <row r="50" spans="1:9" ht="41.25" customHeight="1" x14ac:dyDescent="0.3">
      <c r="A50" s="15" t="s">
        <v>328</v>
      </c>
      <c r="B50" s="16" t="s">
        <v>329</v>
      </c>
      <c r="C50" s="16" t="s">
        <v>330</v>
      </c>
      <c r="D50" s="16" t="s">
        <v>331</v>
      </c>
      <c r="E50" s="18" t="s">
        <v>178</v>
      </c>
      <c r="F50" s="18">
        <v>3</v>
      </c>
      <c r="G50" s="19" t="s">
        <v>166</v>
      </c>
      <c r="H50" s="20">
        <f>IF(G50="N/A",0,F50*IF(G50="Full",1,IF(G50="Partial",0.5,0)))</f>
        <v>0</v>
      </c>
      <c r="I50" s="21" t="s">
        <v>332</v>
      </c>
    </row>
    <row r="51" spans="1:9" x14ac:dyDescent="0.3">
      <c r="A51" s="83" t="s">
        <v>333</v>
      </c>
      <c r="B51" s="63"/>
      <c r="C51" s="63"/>
      <c r="D51" s="63"/>
      <c r="E51" s="61"/>
      <c r="F51" s="2">
        <v>8</v>
      </c>
      <c r="G51" s="14"/>
      <c r="H51" s="14"/>
      <c r="I51" s="14"/>
    </row>
    <row r="52" spans="1:9" ht="27" customHeight="1" x14ac:dyDescent="0.3">
      <c r="A52" s="15" t="s">
        <v>334</v>
      </c>
      <c r="B52" s="16" t="s">
        <v>335</v>
      </c>
      <c r="C52" s="16" t="s">
        <v>336</v>
      </c>
      <c r="D52" s="16" t="s">
        <v>337</v>
      </c>
      <c r="E52" s="18" t="s">
        <v>178</v>
      </c>
      <c r="F52" s="18">
        <v>2</v>
      </c>
      <c r="G52" s="19" t="s">
        <v>166</v>
      </c>
      <c r="H52" s="20">
        <f>IF(G52="N/A",0,F52*IF(G52="Full",1,IF(G52="Partial",0.5,0)))</f>
        <v>0</v>
      </c>
      <c r="I52" s="21" t="s">
        <v>338</v>
      </c>
    </row>
    <row r="53" spans="1:9" ht="27" customHeight="1" x14ac:dyDescent="0.3">
      <c r="A53" s="15" t="s">
        <v>339</v>
      </c>
      <c r="B53" s="16" t="s">
        <v>340</v>
      </c>
      <c r="C53" s="16" t="s">
        <v>341</v>
      </c>
      <c r="D53" s="16" t="s">
        <v>342</v>
      </c>
      <c r="E53" s="18" t="s">
        <v>178</v>
      </c>
      <c r="F53" s="18">
        <v>2</v>
      </c>
      <c r="G53" s="19" t="s">
        <v>172</v>
      </c>
      <c r="H53" s="20">
        <f>IF(G53="N/A",0,F53*IF(G53="Full",1,IF(G53="Partial",0.5,0)))</f>
        <v>1</v>
      </c>
      <c r="I53" s="21" t="s">
        <v>343</v>
      </c>
    </row>
    <row r="54" spans="1:9" ht="27" customHeight="1" x14ac:dyDescent="0.3">
      <c r="A54" s="15" t="s">
        <v>344</v>
      </c>
      <c r="B54" s="16" t="s">
        <v>345</v>
      </c>
      <c r="C54" s="16" t="s">
        <v>346</v>
      </c>
      <c r="D54" s="16" t="s">
        <v>347</v>
      </c>
      <c r="E54" s="18" t="s">
        <v>178</v>
      </c>
      <c r="F54" s="18">
        <v>2</v>
      </c>
      <c r="G54" s="19" t="s">
        <v>179</v>
      </c>
      <c r="H54" s="20">
        <f>IF(G54="N/A",0,F54*IF(G54="Full",1,IF(G54="Partial",0.5,0)))</f>
        <v>2</v>
      </c>
      <c r="I54" s="21" t="s">
        <v>348</v>
      </c>
    </row>
    <row r="55" spans="1:9" ht="27" customHeight="1" x14ac:dyDescent="0.3">
      <c r="A55" s="15" t="s">
        <v>349</v>
      </c>
      <c r="B55" s="16" t="s">
        <v>350</v>
      </c>
      <c r="C55" s="16" t="s">
        <v>351</v>
      </c>
      <c r="D55" s="16" t="s">
        <v>352</v>
      </c>
      <c r="E55" s="18" t="s">
        <v>178</v>
      </c>
      <c r="F55" s="18">
        <v>2</v>
      </c>
      <c r="G55" s="19" t="s">
        <v>172</v>
      </c>
      <c r="H55" s="20">
        <f>IF(G55="N/A",0,F55*IF(G55="Full",1,IF(G55="Partial",0.5,0)))</f>
        <v>1</v>
      </c>
      <c r="I55" s="21" t="s">
        <v>353</v>
      </c>
    </row>
    <row r="56" spans="1:9" x14ac:dyDescent="0.3">
      <c r="A56" s="83" t="s">
        <v>354</v>
      </c>
      <c r="B56" s="63"/>
      <c r="C56" s="63"/>
      <c r="D56" s="63"/>
      <c r="E56" s="61"/>
      <c r="F56" s="2">
        <v>6</v>
      </c>
      <c r="G56" s="14"/>
      <c r="H56" s="14"/>
      <c r="I56" s="14"/>
    </row>
    <row r="57" spans="1:9" ht="27" customHeight="1" x14ac:dyDescent="0.3">
      <c r="A57" s="15" t="s">
        <v>355</v>
      </c>
      <c r="B57" s="16" t="s">
        <v>356</v>
      </c>
      <c r="C57" s="16" t="s">
        <v>357</v>
      </c>
      <c r="D57" s="16" t="s">
        <v>358</v>
      </c>
      <c r="E57" s="17" t="s">
        <v>118</v>
      </c>
      <c r="F57" s="18">
        <v>2</v>
      </c>
      <c r="G57" s="19" t="s">
        <v>166</v>
      </c>
      <c r="H57" s="20">
        <f>IF(G57="N/A",0,F57*IF(G57="Full",1,IF(G57="Partial",0.5,0)))</f>
        <v>0</v>
      </c>
      <c r="I57" s="21" t="s">
        <v>359</v>
      </c>
    </row>
    <row r="58" spans="1:9" ht="27" customHeight="1" x14ac:dyDescent="0.3">
      <c r="A58" s="15" t="s">
        <v>360</v>
      </c>
      <c r="B58" s="16" t="s">
        <v>361</v>
      </c>
      <c r="C58" s="16" t="s">
        <v>362</v>
      </c>
      <c r="D58" s="16" t="s">
        <v>363</v>
      </c>
      <c r="E58" s="17" t="s">
        <v>118</v>
      </c>
      <c r="F58" s="18">
        <v>2</v>
      </c>
      <c r="G58" s="19" t="s">
        <v>179</v>
      </c>
      <c r="H58" s="20">
        <f>IF(G58="N/A",0,F58*IF(G58="Full",1,IF(G58="Partial",0.5,0)))</f>
        <v>2</v>
      </c>
      <c r="I58" s="21" t="s">
        <v>364</v>
      </c>
    </row>
    <row r="59" spans="1:9" ht="27" customHeight="1" x14ac:dyDescent="0.3">
      <c r="A59" s="15" t="s">
        <v>365</v>
      </c>
      <c r="B59" s="16" t="s">
        <v>366</v>
      </c>
      <c r="C59" s="16" t="s">
        <v>367</v>
      </c>
      <c r="D59" s="16" t="s">
        <v>368</v>
      </c>
      <c r="E59" s="18" t="s">
        <v>178</v>
      </c>
      <c r="F59" s="18">
        <v>2</v>
      </c>
      <c r="G59" s="19" t="s">
        <v>172</v>
      </c>
      <c r="H59" s="20">
        <f>IF(G59="N/A",0,F59*IF(G59="Full",1,IF(G59="Partial",0.5,0)))</f>
        <v>1</v>
      </c>
      <c r="I59" s="21" t="s">
        <v>369</v>
      </c>
    </row>
    <row r="61" spans="1:9" x14ac:dyDescent="0.3">
      <c r="B61" s="22" t="s">
        <v>370</v>
      </c>
    </row>
    <row r="62" spans="1:9" ht="27" customHeight="1" x14ac:dyDescent="0.3">
      <c r="B62" s="23" t="s">
        <v>371</v>
      </c>
      <c r="C62" s="23" t="s">
        <v>157</v>
      </c>
      <c r="D62" s="23" t="s">
        <v>372</v>
      </c>
      <c r="E62" s="23" t="s">
        <v>373</v>
      </c>
      <c r="F62" s="23" t="s">
        <v>374</v>
      </c>
    </row>
    <row r="63" spans="1:9" x14ac:dyDescent="0.3">
      <c r="B63" s="24" t="s">
        <v>375</v>
      </c>
      <c r="C63" s="20">
        <v>8</v>
      </c>
      <c r="D63" s="20">
        <f>SUMPRODUCT((G12:G16&lt;&gt;"N/A")*F12:F16)</f>
        <v>8</v>
      </c>
      <c r="E63" s="20">
        <f>SUM(H12:H16)</f>
        <v>4.5</v>
      </c>
      <c r="F63" s="20">
        <f t="shared" ref="F63:F72" si="1">IF(D63=0,"N/A",ROUND(E63/D63*100,0))</f>
        <v>56</v>
      </c>
    </row>
    <row r="64" spans="1:9" x14ac:dyDescent="0.3">
      <c r="B64" s="24" t="s">
        <v>376</v>
      </c>
      <c r="C64" s="20">
        <v>12</v>
      </c>
      <c r="D64" s="20">
        <f>SUMPRODUCT((G18:G22&lt;&gt;"N/A")*F18:F22)</f>
        <v>12</v>
      </c>
      <c r="E64" s="20">
        <f>SUM(H18:H22)</f>
        <v>7</v>
      </c>
      <c r="F64" s="20">
        <f t="shared" si="1"/>
        <v>58</v>
      </c>
    </row>
    <row r="65" spans="1:6" x14ac:dyDescent="0.3">
      <c r="B65" s="24" t="s">
        <v>377</v>
      </c>
      <c r="C65" s="20">
        <v>10</v>
      </c>
      <c r="D65" s="20">
        <f>SUMPRODUCT((G24:G26&lt;&gt;"N/A")*F24:F26)</f>
        <v>10</v>
      </c>
      <c r="E65" s="20">
        <f>SUM(H24:H26)</f>
        <v>3.5</v>
      </c>
      <c r="F65" s="20">
        <f t="shared" si="1"/>
        <v>35</v>
      </c>
    </row>
    <row r="66" spans="1:6" x14ac:dyDescent="0.3">
      <c r="B66" s="24" t="s">
        <v>378</v>
      </c>
      <c r="C66" s="20">
        <v>20</v>
      </c>
      <c r="D66" s="20">
        <f>SUMPRODUCT((G28:G33&lt;&gt;"N/A")*F28:F33)</f>
        <v>20</v>
      </c>
      <c r="E66" s="20">
        <f>SUM(H28:H33)</f>
        <v>9</v>
      </c>
      <c r="F66" s="20">
        <f t="shared" si="1"/>
        <v>45</v>
      </c>
    </row>
    <row r="67" spans="1:6" x14ac:dyDescent="0.3">
      <c r="B67" s="24" t="s">
        <v>379</v>
      </c>
      <c r="C67" s="20">
        <v>12</v>
      </c>
      <c r="D67" s="20">
        <f>SUMPRODUCT((G35:G38&lt;&gt;"N/A")*F35:F38)</f>
        <v>12</v>
      </c>
      <c r="E67" s="20">
        <f>SUM(H35:H38)</f>
        <v>8</v>
      </c>
      <c r="F67" s="20">
        <f t="shared" si="1"/>
        <v>67</v>
      </c>
    </row>
    <row r="68" spans="1:6" x14ac:dyDescent="0.3">
      <c r="B68" s="24" t="s">
        <v>380</v>
      </c>
      <c r="C68" s="20">
        <v>8</v>
      </c>
      <c r="D68" s="20">
        <f>SUMPRODUCT((G40:G42&lt;&gt;"N/A")*F40:F42)</f>
        <v>8</v>
      </c>
      <c r="E68" s="20">
        <f>SUM(H40:H42)</f>
        <v>4</v>
      </c>
      <c r="F68" s="20">
        <f t="shared" si="1"/>
        <v>50</v>
      </c>
    </row>
    <row r="69" spans="1:6" x14ac:dyDescent="0.3">
      <c r="B69" s="24" t="s">
        <v>381</v>
      </c>
      <c r="C69" s="20">
        <v>8</v>
      </c>
      <c r="D69" s="20">
        <f>SUMPRODUCT((G44:G46&lt;&gt;"N/A")*F44:F46)</f>
        <v>8</v>
      </c>
      <c r="E69" s="20">
        <f>SUM(H44:H46)</f>
        <v>6.5</v>
      </c>
      <c r="F69" s="20">
        <f t="shared" si="1"/>
        <v>81</v>
      </c>
    </row>
    <row r="70" spans="1:6" x14ac:dyDescent="0.3">
      <c r="B70" s="24" t="s">
        <v>382</v>
      </c>
      <c r="C70" s="20">
        <v>8</v>
      </c>
      <c r="D70" s="20">
        <f>SUMPRODUCT((G48:G50&lt;&gt;"N/A")*F48:F50)</f>
        <v>8</v>
      </c>
      <c r="E70" s="20">
        <f>SUM(H48:H50)</f>
        <v>4</v>
      </c>
      <c r="F70" s="20">
        <f t="shared" si="1"/>
        <v>50</v>
      </c>
    </row>
    <row r="71" spans="1:6" x14ac:dyDescent="0.3">
      <c r="B71" s="24" t="s">
        <v>383</v>
      </c>
      <c r="C71" s="20">
        <v>8</v>
      </c>
      <c r="D71" s="20">
        <f>SUMPRODUCT((G52:G55&lt;&gt;"N/A")*F52:F55)</f>
        <v>8</v>
      </c>
      <c r="E71" s="20">
        <f>SUM(H52:H55)</f>
        <v>4</v>
      </c>
      <c r="F71" s="20">
        <f t="shared" si="1"/>
        <v>50</v>
      </c>
    </row>
    <row r="72" spans="1:6" x14ac:dyDescent="0.3">
      <c r="B72" s="24" t="s">
        <v>384</v>
      </c>
      <c r="C72" s="20">
        <v>6</v>
      </c>
      <c r="D72" s="20">
        <f>SUMPRODUCT((G57:G59&lt;&gt;"N/A")*F57:F59)</f>
        <v>6</v>
      </c>
      <c r="E72" s="20">
        <f>SUM(H57:H59)</f>
        <v>3</v>
      </c>
      <c r="F72" s="20">
        <f t="shared" si="1"/>
        <v>50</v>
      </c>
    </row>
    <row r="74" spans="1:6" x14ac:dyDescent="0.3">
      <c r="B74" s="25" t="s">
        <v>385</v>
      </c>
    </row>
    <row r="75" spans="1:6" ht="14.25" customHeight="1" x14ac:dyDescent="0.3">
      <c r="A75" s="1" t="s">
        <v>386</v>
      </c>
      <c r="B75" s="85" t="s">
        <v>387</v>
      </c>
      <c r="C75" s="63"/>
      <c r="D75" s="61"/>
      <c r="E75" s="1" t="s">
        <v>388</v>
      </c>
    </row>
    <row r="76" spans="1:6" ht="23.25" customHeight="1" x14ac:dyDescent="0.3">
      <c r="A76" s="26" t="s">
        <v>389</v>
      </c>
      <c r="B76" s="84" t="s">
        <v>390</v>
      </c>
      <c r="C76" s="63"/>
      <c r="D76" s="61"/>
      <c r="E76" s="27" t="s">
        <v>391</v>
      </c>
    </row>
    <row r="77" spans="1:6" ht="14.25" customHeight="1" x14ac:dyDescent="0.3">
      <c r="A77" s="26" t="s">
        <v>392</v>
      </c>
      <c r="B77" s="84" t="s">
        <v>393</v>
      </c>
      <c r="C77" s="63"/>
      <c r="D77" s="61"/>
      <c r="E77" s="27" t="s">
        <v>394</v>
      </c>
    </row>
    <row r="78" spans="1:6" ht="14.25" customHeight="1" x14ac:dyDescent="0.3">
      <c r="A78" s="26" t="s">
        <v>395</v>
      </c>
      <c r="B78" s="84" t="s">
        <v>396</v>
      </c>
      <c r="C78" s="63"/>
      <c r="D78" s="61"/>
      <c r="E78" s="27" t="s">
        <v>391</v>
      </c>
    </row>
    <row r="79" spans="1:6" ht="14.25" customHeight="1" x14ac:dyDescent="0.3">
      <c r="A79" s="26" t="s">
        <v>397</v>
      </c>
      <c r="B79" s="84" t="s">
        <v>398</v>
      </c>
      <c r="C79" s="63"/>
      <c r="D79" s="61"/>
      <c r="E79" s="27" t="s">
        <v>394</v>
      </c>
    </row>
    <row r="80" spans="1:6" ht="14.25" customHeight="1" x14ac:dyDescent="0.3">
      <c r="A80" s="26" t="s">
        <v>399</v>
      </c>
      <c r="B80" s="84" t="s">
        <v>400</v>
      </c>
      <c r="C80" s="63"/>
      <c r="D80" s="61"/>
      <c r="E80" s="27" t="s">
        <v>394</v>
      </c>
    </row>
    <row r="81" spans="1:5" ht="14.25" customHeight="1" x14ac:dyDescent="0.3">
      <c r="A81" s="26" t="s">
        <v>401</v>
      </c>
      <c r="B81" s="84" t="s">
        <v>402</v>
      </c>
      <c r="C81" s="63"/>
      <c r="D81" s="61"/>
      <c r="E81" s="27" t="s">
        <v>394</v>
      </c>
    </row>
    <row r="82" spans="1:5" ht="23.25" customHeight="1" x14ac:dyDescent="0.3">
      <c r="A82" s="26" t="s">
        <v>403</v>
      </c>
      <c r="B82" s="84" t="s">
        <v>404</v>
      </c>
      <c r="C82" s="63"/>
      <c r="D82" s="61"/>
      <c r="E82" s="27" t="s">
        <v>394</v>
      </c>
    </row>
    <row r="83" spans="1:5" ht="14.25" customHeight="1" x14ac:dyDescent="0.3">
      <c r="A83" s="26" t="s">
        <v>405</v>
      </c>
      <c r="B83" s="84" t="s">
        <v>406</v>
      </c>
      <c r="C83" s="63"/>
      <c r="D83" s="61"/>
      <c r="E83" s="27" t="s">
        <v>394</v>
      </c>
    </row>
    <row r="84" spans="1:5" ht="14.25" customHeight="1" x14ac:dyDescent="0.3">
      <c r="A84" s="26" t="s">
        <v>407</v>
      </c>
      <c r="B84" s="84" t="s">
        <v>408</v>
      </c>
      <c r="C84" s="63"/>
      <c r="D84" s="61"/>
      <c r="E84" s="27" t="s">
        <v>394</v>
      </c>
    </row>
    <row r="86" spans="1:5" x14ac:dyDescent="0.3">
      <c r="B86" s="28" t="s">
        <v>409</v>
      </c>
      <c r="C86" s="29"/>
      <c r="D86" s="29"/>
      <c r="E86" s="30">
        <f>ROUND(SUM(E63:E72)/SUM(D63:D72)*100,1)</f>
        <v>53.5</v>
      </c>
    </row>
    <row r="87" spans="1:5" x14ac:dyDescent="0.3">
      <c r="B87" s="28" t="s">
        <v>410</v>
      </c>
      <c r="C87" s="29"/>
      <c r="D87" s="29"/>
      <c r="E87" s="30" t="str">
        <f>IF(COUNTIF(E76:E84,"FAIL")&gt;0,"FAILED — INVALID",IF(COUNTIF(E76:E84,"PASS")=9,"ALL PASSED","INCOMPLETE"))</f>
        <v>FAILED — INVALID</v>
      </c>
    </row>
    <row r="88" spans="1:5" x14ac:dyDescent="0.3">
      <c r="B88" s="28" t="s">
        <v>411</v>
      </c>
      <c r="C88" s="29"/>
      <c r="D88" s="29"/>
      <c r="E88" s="30" t="str">
        <f>IF(E86&gt;=90,"A — Excellent",IF(E86&gt;=75,"B — Pass",IF(E86&gt;=60,"C — Conditional","D — Fail")))</f>
        <v>D — Fail</v>
      </c>
    </row>
    <row r="89" spans="1:5" x14ac:dyDescent="0.3">
      <c r="B89" s="28" t="s">
        <v>412</v>
      </c>
      <c r="C89" s="29"/>
      <c r="D89" s="29"/>
      <c r="E89" s="30" t="str">
        <f>IF(E87="FAILED — INVALID","INVALID — RE-CONDUCT AUDIO PD",IF(E87&lt;&gt;"ALL PASSED","COMPLETE ALL KNOCK-OUT GATES",IF(E86&gt;=75,"AUDIO PD ACCEPTED",IF(E86&gt;=60,"SUPPLEMENTARY CALL REQUIRED","RE-CONDUCT AUDIO PD"))))</f>
        <v>INVALID — RE-CONDUCT AUDIO PD</v>
      </c>
    </row>
  </sheetData>
  <mergeCells count="21">
    <mergeCell ref="A1:I1"/>
    <mergeCell ref="B77:D77"/>
    <mergeCell ref="B84:D84"/>
    <mergeCell ref="B83:D83"/>
    <mergeCell ref="A56:E56"/>
    <mergeCell ref="A27:E27"/>
    <mergeCell ref="B80:D80"/>
    <mergeCell ref="B76:D76"/>
    <mergeCell ref="B79:D79"/>
    <mergeCell ref="A47:E47"/>
    <mergeCell ref="B75:D75"/>
    <mergeCell ref="B81:D81"/>
    <mergeCell ref="A43:E43"/>
    <mergeCell ref="A39:E39"/>
    <mergeCell ref="A34:E34"/>
    <mergeCell ref="A51:E51"/>
    <mergeCell ref="A11:E11"/>
    <mergeCell ref="B82:D82"/>
    <mergeCell ref="B78:D78"/>
    <mergeCell ref="A23:E23"/>
    <mergeCell ref="A17:E17"/>
  </mergeCells>
  <dataValidations count="2">
    <dataValidation type="list" allowBlank="1" showErrorMessage="1" errorTitle="Invalid rating" error="Choose Full, Partial, None or N/A" sqref="G12:G16 G18:G22 G24:G26 G28:G33 G35:G38 G40:G42 G44:G46 G48:G50 G52:G55 G57:G59" xr:uid="{00000000-0002-0000-0100-000000000000}">
      <formula1>"Full,Partial,None,N/A"</formula1>
      <formula2>0</formula2>
    </dataValidation>
    <dataValidation type="list" allowBlank="1" sqref="E76:E84" xr:uid="{00000000-0002-0000-0100-000001000000}">
      <formula1>"PASS,FAIL"</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3"/>
  <sheetViews>
    <sheetView showGridLines="0" topLeftCell="A17" zoomScaleNormal="100" workbookViewId="0">
      <selection activeCell="J21" sqref="J21"/>
    </sheetView>
  </sheetViews>
  <sheetFormatPr defaultColWidth="8.6640625" defaultRowHeight="14.4" x14ac:dyDescent="0.3"/>
  <cols>
    <col min="1" max="1" width="5" customWidth="1"/>
    <col min="2" max="2" width="32" customWidth="1"/>
    <col min="3" max="4" width="17" customWidth="1"/>
    <col min="5" max="5" width="15" customWidth="1"/>
    <col min="6" max="7" width="22" customWidth="1"/>
    <col min="8" max="8" width="40" customWidth="1"/>
  </cols>
  <sheetData>
    <row r="1" spans="1:8" ht="24" customHeight="1" x14ac:dyDescent="0.3">
      <c r="A1" s="71" t="s">
        <v>0</v>
      </c>
      <c r="B1" s="63"/>
      <c r="C1" s="63"/>
      <c r="D1" s="63"/>
      <c r="E1" s="63"/>
      <c r="F1" s="63"/>
      <c r="G1" s="63"/>
      <c r="H1" s="61"/>
    </row>
    <row r="2" spans="1:8" ht="87.75" customHeight="1" x14ac:dyDescent="0.3">
      <c r="A2" s="62" t="s">
        <v>1</v>
      </c>
      <c r="B2" s="63"/>
      <c r="C2" s="63"/>
      <c r="D2" s="63"/>
      <c r="E2" s="63"/>
      <c r="F2" s="63"/>
      <c r="G2" s="63"/>
      <c r="H2" s="61"/>
    </row>
    <row r="3" spans="1:8" x14ac:dyDescent="0.3">
      <c r="A3" s="49"/>
      <c r="B3" s="49"/>
      <c r="C3" s="49"/>
      <c r="D3" s="49"/>
      <c r="E3" s="49"/>
      <c r="F3" s="49"/>
      <c r="G3" s="49"/>
      <c r="H3" s="49"/>
    </row>
    <row r="4" spans="1:8" ht="15" customHeight="1" x14ac:dyDescent="0.3">
      <c r="A4" s="65" t="s">
        <v>2</v>
      </c>
      <c r="B4" s="61"/>
      <c r="C4" s="60" t="str">
        <f>IF(Scorecard!B3="","",Scorecard!B3)</f>
        <v>Not provided (CAM / PRAGATI file not shared with evaluator)</v>
      </c>
      <c r="D4" s="61"/>
      <c r="E4" s="66" t="s">
        <v>3</v>
      </c>
      <c r="F4" s="61"/>
      <c r="G4" s="68">
        <f>IF(Scorecard!E86="","",Scorecard!E86)</f>
        <v>53.5</v>
      </c>
      <c r="H4" s="61"/>
    </row>
    <row r="5" spans="1:8" ht="15" customHeight="1" x14ac:dyDescent="0.3">
      <c r="A5" s="65" t="s">
        <v>4</v>
      </c>
      <c r="B5" s="61"/>
      <c r="C5" s="60" t="str">
        <f>IF(Scorecard!B4="","",Scorecard!B4)</f>
        <v>Not clearly audible (male, ~40 yrs; kirana/shop business + agriculture, soyabean belt — MP region)</v>
      </c>
      <c r="D5" s="61"/>
      <c r="E5" s="66" t="s">
        <v>5</v>
      </c>
      <c r="F5" s="61"/>
      <c r="G5" s="68" t="str">
        <f>IF(Scorecard!E88="","",Scorecard!E88)</f>
        <v>D — Fail</v>
      </c>
      <c r="H5" s="61"/>
    </row>
    <row r="6" spans="1:8" ht="15" customHeight="1" x14ac:dyDescent="0.3">
      <c r="A6" s="65" t="s">
        <v>6</v>
      </c>
      <c r="B6" s="61"/>
      <c r="C6" s="60" t="str">
        <f>IF(Scorecard!B5="","",Scorecard!B5)</f>
        <v>Rahul (surname unclear on audio — 'Rahul Rajput'?), Bhopal — self-intro at 0:00–0:15</v>
      </c>
      <c r="D6" s="61"/>
      <c r="E6" s="66" t="s">
        <v>7</v>
      </c>
      <c r="F6" s="61"/>
      <c r="G6" s="68" t="str">
        <f>IF(Scorecard!E87="","",Scorecard!E87)</f>
        <v>FAILED — INVALID</v>
      </c>
      <c r="H6" s="61"/>
    </row>
    <row r="7" spans="1:8" ht="15" customHeight="1" x14ac:dyDescent="0.3">
      <c r="A7" s="65" t="s">
        <v>8</v>
      </c>
      <c r="B7" s="61"/>
      <c r="C7" s="60" t="str">
        <f>IF(Scorecard!B6="","",Scorecard!B6)</f>
        <v>17-Aug-2026 (from WhatsApp file name)</v>
      </c>
      <c r="D7" s="61"/>
      <c r="E7" s="66" t="s">
        <v>9</v>
      </c>
      <c r="F7" s="61"/>
      <c r="G7" s="68" t="str">
        <f>IF(Scorecard!E89="","",Scorecard!E89)</f>
        <v>INVALID — RE-CONDUCT AUDIO PD</v>
      </c>
      <c r="H7" s="61"/>
    </row>
    <row r="8" spans="1:8" ht="15" customHeight="1" x14ac:dyDescent="0.3">
      <c r="A8" s="65" t="s">
        <v>10</v>
      </c>
      <c r="B8" s="61"/>
      <c r="C8" s="60" t="str">
        <f>IF(Scorecard!B8="","",Scorecard!B8)</f>
        <v/>
      </c>
      <c r="D8" s="61"/>
      <c r="E8" s="66" t="s">
        <v>11</v>
      </c>
      <c r="F8" s="61"/>
      <c r="G8" s="68">
        <f>IF(Scorecard!B7="","",Scorecard!B7)</f>
        <v>7.9</v>
      </c>
      <c r="H8" s="61"/>
    </row>
    <row r="9" spans="1:8" ht="12.75" customHeight="1" x14ac:dyDescent="0.3">
      <c r="A9" s="69" t="s">
        <v>12</v>
      </c>
      <c r="B9" s="63"/>
      <c r="C9" s="63"/>
      <c r="D9" s="63"/>
      <c r="E9" s="63"/>
      <c r="F9" s="63"/>
      <c r="G9" s="63"/>
      <c r="H9" s="61"/>
    </row>
    <row r="10" spans="1:8" x14ac:dyDescent="0.3">
      <c r="A10" s="49"/>
      <c r="B10" s="49"/>
      <c r="C10" s="49"/>
      <c r="D10" s="49"/>
      <c r="E10" s="49"/>
      <c r="F10" s="49"/>
      <c r="G10" s="49"/>
      <c r="H10" s="49"/>
    </row>
    <row r="11" spans="1:8" ht="16.5" customHeight="1" x14ac:dyDescent="0.3">
      <c r="A11" s="67" t="s">
        <v>13</v>
      </c>
      <c r="B11" s="63"/>
      <c r="C11" s="63"/>
      <c r="D11" s="63"/>
      <c r="E11" s="63"/>
      <c r="F11" s="63"/>
      <c r="G11" s="63"/>
      <c r="H11" s="61"/>
    </row>
    <row r="12" spans="1:8" ht="24" customHeight="1" x14ac:dyDescent="0.3">
      <c r="A12" s="62" t="s">
        <v>14</v>
      </c>
      <c r="B12" s="63"/>
      <c r="C12" s="63"/>
      <c r="D12" s="63"/>
      <c r="E12" s="63"/>
      <c r="F12" s="63"/>
      <c r="G12" s="63"/>
      <c r="H12" s="61"/>
    </row>
    <row r="13" spans="1:8" ht="19.5" customHeight="1" x14ac:dyDescent="0.3">
      <c r="A13" s="73" t="s">
        <v>15</v>
      </c>
      <c r="B13" s="74"/>
      <c r="C13" s="74"/>
      <c r="D13" s="74"/>
      <c r="E13" s="74"/>
      <c r="F13" s="74"/>
      <c r="G13" s="74"/>
      <c r="H13" s="75"/>
    </row>
    <row r="14" spans="1:8" ht="19.5" customHeight="1" x14ac:dyDescent="0.3">
      <c r="A14" s="76"/>
      <c r="B14" s="77"/>
      <c r="C14" s="77"/>
      <c r="D14" s="77"/>
      <c r="E14" s="77"/>
      <c r="F14" s="77"/>
      <c r="G14" s="77"/>
      <c r="H14" s="78"/>
    </row>
    <row r="15" spans="1:8" ht="19.5" customHeight="1" x14ac:dyDescent="0.3">
      <c r="A15" s="79"/>
      <c r="B15" s="80"/>
      <c r="C15" s="80"/>
      <c r="D15" s="80"/>
      <c r="E15" s="80"/>
      <c r="F15" s="80"/>
      <c r="G15" s="80"/>
      <c r="H15" s="81"/>
    </row>
    <row r="16" spans="1:8" x14ac:dyDescent="0.3">
      <c r="A16" s="49"/>
      <c r="B16" s="49"/>
      <c r="C16" s="49"/>
      <c r="D16" s="49"/>
      <c r="E16" s="49"/>
      <c r="F16" s="49"/>
      <c r="G16" s="49"/>
      <c r="H16" s="49"/>
    </row>
    <row r="17" spans="1:8" ht="16.5" customHeight="1" x14ac:dyDescent="0.3">
      <c r="A17" s="67" t="s">
        <v>16</v>
      </c>
      <c r="B17" s="63"/>
      <c r="C17" s="63"/>
      <c r="D17" s="63"/>
      <c r="E17" s="63"/>
      <c r="F17" s="63"/>
      <c r="G17" s="63"/>
      <c r="H17" s="61"/>
    </row>
    <row r="18" spans="1:8" ht="24" customHeight="1" x14ac:dyDescent="0.3">
      <c r="A18" s="62" t="s">
        <v>17</v>
      </c>
      <c r="B18" s="63"/>
      <c r="C18" s="63"/>
      <c r="D18" s="63"/>
      <c r="E18" s="63"/>
      <c r="F18" s="63"/>
      <c r="G18" s="63"/>
      <c r="H18" s="61"/>
    </row>
    <row r="19" spans="1:8" ht="30" customHeight="1" x14ac:dyDescent="0.3">
      <c r="A19" s="51" t="s">
        <v>18</v>
      </c>
      <c r="B19" s="51" t="s">
        <v>19</v>
      </c>
      <c r="C19" s="51" t="s">
        <v>20</v>
      </c>
      <c r="D19" s="51" t="s">
        <v>21</v>
      </c>
      <c r="E19" s="51" t="s">
        <v>22</v>
      </c>
      <c r="F19" s="51" t="s">
        <v>23</v>
      </c>
      <c r="G19" s="51" t="s">
        <v>24</v>
      </c>
      <c r="H19" s="51" t="s">
        <v>25</v>
      </c>
    </row>
    <row r="20" spans="1:8" ht="27.6" x14ac:dyDescent="0.3">
      <c r="A20" s="52">
        <v>1</v>
      </c>
      <c r="B20" s="50" t="s">
        <v>26</v>
      </c>
      <c r="C20" s="53"/>
      <c r="D20" s="53"/>
      <c r="E20" s="54" t="str">
        <f t="shared" ref="E20:E25" si="0">IF(AND(C20=0,D20=0),"",IF(D20=0,"NOT IN CAM",IF(C20=0,"NOT STATED ON CALL",ROUND((C20-D20)/D20*100,0)&amp;"%")))</f>
        <v/>
      </c>
      <c r="F20" s="54" t="str">
        <f t="shared" ref="F20:F25" si="1">IF(AND(C20=0,D20=0),"",IF(D20=0,"ADD TO CAM (missed income)",IF(C20=0,"PROBE — not stated",IF(ABS(C20-D20)/D20&lt;=0.2,"OK","RF-4 — RETURN TO BCM"))))</f>
        <v/>
      </c>
      <c r="G20" s="50" t="s">
        <v>27</v>
      </c>
      <c r="H20" s="50" t="s">
        <v>28</v>
      </c>
    </row>
    <row r="21" spans="1:8" ht="27.6" x14ac:dyDescent="0.3">
      <c r="A21" s="52">
        <v>2</v>
      </c>
      <c r="B21" s="50" t="s">
        <v>29</v>
      </c>
      <c r="C21" s="53"/>
      <c r="D21" s="53"/>
      <c r="E21" s="54" t="str">
        <f t="shared" si="0"/>
        <v/>
      </c>
      <c r="F21" s="54" t="str">
        <f t="shared" si="1"/>
        <v/>
      </c>
      <c r="G21" s="50" t="s">
        <v>30</v>
      </c>
      <c r="H21" s="50" t="s">
        <v>31</v>
      </c>
    </row>
    <row r="22" spans="1:8" x14ac:dyDescent="0.3">
      <c r="A22" s="52">
        <v>3</v>
      </c>
      <c r="B22" s="50"/>
      <c r="C22" s="53"/>
      <c r="D22" s="53"/>
      <c r="E22" s="54" t="str">
        <f t="shared" si="0"/>
        <v/>
      </c>
      <c r="F22" s="54" t="str">
        <f t="shared" si="1"/>
        <v/>
      </c>
      <c r="G22" s="50"/>
      <c r="H22" s="50"/>
    </row>
    <row r="23" spans="1:8" x14ac:dyDescent="0.3">
      <c r="A23" s="52">
        <v>4</v>
      </c>
      <c r="B23" s="50"/>
      <c r="C23" s="53"/>
      <c r="D23" s="53"/>
      <c r="E23" s="54" t="str">
        <f t="shared" si="0"/>
        <v/>
      </c>
      <c r="F23" s="54" t="str">
        <f t="shared" si="1"/>
        <v/>
      </c>
      <c r="G23" s="50"/>
      <c r="H23" s="50"/>
    </row>
    <row r="24" spans="1:8" x14ac:dyDescent="0.3">
      <c r="A24" s="52">
        <v>5</v>
      </c>
      <c r="B24" s="50"/>
      <c r="C24" s="53"/>
      <c r="D24" s="53"/>
      <c r="E24" s="54" t="str">
        <f t="shared" si="0"/>
        <v/>
      </c>
      <c r="F24" s="54" t="str">
        <f t="shared" si="1"/>
        <v/>
      </c>
      <c r="G24" s="50"/>
      <c r="H24" s="50"/>
    </row>
    <row r="25" spans="1:8" x14ac:dyDescent="0.3">
      <c r="A25" s="52">
        <v>6</v>
      </c>
      <c r="B25" s="50"/>
      <c r="C25" s="53"/>
      <c r="D25" s="53"/>
      <c r="E25" s="54" t="str">
        <f t="shared" si="0"/>
        <v/>
      </c>
      <c r="F25" s="54" t="str">
        <f t="shared" si="1"/>
        <v/>
      </c>
      <c r="G25" s="50"/>
      <c r="H25" s="50"/>
    </row>
    <row r="26" spans="1:8" ht="15" customHeight="1" x14ac:dyDescent="0.3">
      <c r="A26" s="66" t="s">
        <v>32</v>
      </c>
      <c r="B26" s="61"/>
      <c r="C26" s="55">
        <f>SUM(C20:C25)</f>
        <v>0</v>
      </c>
      <c r="D26" s="55">
        <f>SUM(D20:D25)</f>
        <v>0</v>
      </c>
      <c r="E26" s="56" t="str">
        <f>IF(OR(C26=0,D26=0),"",ROUND((C26-D26)/D26*100,0)&amp;"%")</f>
        <v/>
      </c>
      <c r="F26" s="66" t="str">
        <f>IF(OR(C26=0,D26=0),"— enter both columns",IF(ABS(C26-D26)/D26&lt;=0.2,"TOTAL WITHIN ±20% of CAM","TOTAL DEVIATION BEYOND ±20% → RF-4 — RETURN CAM TO BCM"))</f>
        <v>— enter both columns</v>
      </c>
      <c r="G26" s="63"/>
      <c r="H26" s="61"/>
    </row>
    <row r="27" spans="1:8" ht="57.75" customHeight="1" x14ac:dyDescent="0.3">
      <c r="A27" s="65" t="s">
        <v>33</v>
      </c>
      <c r="B27" s="61"/>
      <c r="C27" s="64" t="s">
        <v>34</v>
      </c>
      <c r="D27" s="63"/>
      <c r="E27" s="63"/>
      <c r="F27" s="63"/>
      <c r="G27" s="63"/>
      <c r="H27" s="61"/>
    </row>
    <row r="28" spans="1:8" ht="45" customHeight="1" x14ac:dyDescent="0.3">
      <c r="A28" s="65" t="s">
        <v>35</v>
      </c>
      <c r="B28" s="61"/>
      <c r="C28" s="64" t="s">
        <v>36</v>
      </c>
      <c r="D28" s="63"/>
      <c r="E28" s="63"/>
      <c r="F28" s="63"/>
      <c r="G28" s="63"/>
      <c r="H28" s="61"/>
    </row>
    <row r="29" spans="1:8" ht="57.75" customHeight="1" x14ac:dyDescent="0.3">
      <c r="A29" s="65" t="s">
        <v>37</v>
      </c>
      <c r="B29" s="61"/>
      <c r="C29" s="64" t="s">
        <v>38</v>
      </c>
      <c r="D29" s="63"/>
      <c r="E29" s="63"/>
      <c r="F29" s="63"/>
      <c r="G29" s="63"/>
      <c r="H29" s="61"/>
    </row>
    <row r="30" spans="1:8" ht="45" customHeight="1" x14ac:dyDescent="0.3">
      <c r="A30" s="65" t="s">
        <v>39</v>
      </c>
      <c r="B30" s="61"/>
      <c r="C30" s="64" t="s">
        <v>40</v>
      </c>
      <c r="D30" s="63"/>
      <c r="E30" s="63"/>
      <c r="F30" s="63"/>
      <c r="G30" s="63"/>
      <c r="H30" s="61"/>
    </row>
    <row r="31" spans="1:8" x14ac:dyDescent="0.3">
      <c r="A31" s="49"/>
      <c r="B31" s="49"/>
      <c r="C31" s="49"/>
      <c r="D31" s="49"/>
      <c r="E31" s="49"/>
      <c r="F31" s="49"/>
      <c r="G31" s="49"/>
      <c r="H31" s="49"/>
    </row>
    <row r="32" spans="1:8" ht="16.5" customHeight="1" x14ac:dyDescent="0.3">
      <c r="A32" s="67" t="s">
        <v>41</v>
      </c>
      <c r="B32" s="63"/>
      <c r="C32" s="63"/>
      <c r="D32" s="63"/>
      <c r="E32" s="63"/>
      <c r="F32" s="63"/>
      <c r="G32" s="63"/>
      <c r="H32" s="61"/>
    </row>
    <row r="33" spans="1:8" ht="24" customHeight="1" x14ac:dyDescent="0.3">
      <c r="A33" s="62" t="s">
        <v>42</v>
      </c>
      <c r="B33" s="63"/>
      <c r="C33" s="63"/>
      <c r="D33" s="63"/>
      <c r="E33" s="63"/>
      <c r="F33" s="63"/>
      <c r="G33" s="63"/>
      <c r="H33" s="61"/>
    </row>
    <row r="34" spans="1:8" ht="30" customHeight="1" x14ac:dyDescent="0.3">
      <c r="A34" s="51" t="s">
        <v>18</v>
      </c>
      <c r="B34" s="51" t="s">
        <v>43</v>
      </c>
      <c r="C34" s="51" t="s">
        <v>44</v>
      </c>
      <c r="D34" s="51" t="s">
        <v>45</v>
      </c>
      <c r="E34" s="51" t="s">
        <v>46</v>
      </c>
      <c r="F34" s="51" t="s">
        <v>47</v>
      </c>
      <c r="G34" s="51" t="s">
        <v>48</v>
      </c>
      <c r="H34" s="51" t="s">
        <v>49</v>
      </c>
    </row>
    <row r="35" spans="1:8" ht="27.6" x14ac:dyDescent="0.3">
      <c r="A35" s="52">
        <v>1</v>
      </c>
      <c r="B35" s="50" t="s">
        <v>50</v>
      </c>
      <c r="C35" s="50" t="s">
        <v>51</v>
      </c>
      <c r="D35" s="53"/>
      <c r="E35" s="50" t="s">
        <v>52</v>
      </c>
      <c r="F35" s="50" t="s">
        <v>53</v>
      </c>
      <c r="G35" s="50" t="s">
        <v>54</v>
      </c>
      <c r="H35" s="50" t="s">
        <v>55</v>
      </c>
    </row>
    <row r="36" spans="1:8" ht="27.6" x14ac:dyDescent="0.3">
      <c r="A36" s="52">
        <v>2</v>
      </c>
      <c r="B36" s="50" t="s">
        <v>56</v>
      </c>
      <c r="C36" s="50" t="s">
        <v>57</v>
      </c>
      <c r="D36" s="53"/>
      <c r="E36" s="50" t="s">
        <v>52</v>
      </c>
      <c r="F36" s="50" t="s">
        <v>53</v>
      </c>
      <c r="G36" s="50" t="s">
        <v>58</v>
      </c>
      <c r="H36" s="50" t="s">
        <v>59</v>
      </c>
    </row>
    <row r="37" spans="1:8" x14ac:dyDescent="0.3">
      <c r="A37" s="52">
        <v>3</v>
      </c>
      <c r="B37" s="50"/>
      <c r="C37" s="50"/>
      <c r="D37" s="53"/>
      <c r="E37" s="50"/>
      <c r="F37" s="50"/>
      <c r="G37" s="50"/>
      <c r="H37" s="50"/>
    </row>
    <row r="38" spans="1:8" x14ac:dyDescent="0.3">
      <c r="A38" s="52">
        <v>4</v>
      </c>
      <c r="B38" s="50"/>
      <c r="C38" s="50"/>
      <c r="D38" s="53"/>
      <c r="E38" s="50"/>
      <c r="F38" s="50"/>
      <c r="G38" s="50"/>
      <c r="H38" s="50"/>
    </row>
    <row r="39" spans="1:8" x14ac:dyDescent="0.3">
      <c r="A39" s="52">
        <v>5</v>
      </c>
      <c r="B39" s="50"/>
      <c r="C39" s="50"/>
      <c r="D39" s="53"/>
      <c r="E39" s="50"/>
      <c r="F39" s="50"/>
      <c r="G39" s="50"/>
      <c r="H39" s="50"/>
    </row>
    <row r="40" spans="1:8" x14ac:dyDescent="0.3">
      <c r="A40" s="52">
        <v>6</v>
      </c>
      <c r="B40" s="50"/>
      <c r="C40" s="50"/>
      <c r="D40" s="53"/>
      <c r="E40" s="50"/>
      <c r="F40" s="50"/>
      <c r="G40" s="50"/>
      <c r="H40" s="50"/>
    </row>
    <row r="41" spans="1:8" ht="23.85" customHeight="1" x14ac:dyDescent="0.3">
      <c r="A41" s="66" t="s">
        <v>60</v>
      </c>
      <c r="B41" s="63"/>
      <c r="C41" s="61"/>
      <c r="D41" s="55">
        <f>SUM(D35:D40)</f>
        <v>0</v>
      </c>
      <c r="E41" s="70" t="s">
        <v>61</v>
      </c>
      <c r="F41" s="63"/>
      <c r="G41" s="63"/>
      <c r="H41" s="61"/>
    </row>
    <row r="42" spans="1:8" ht="45" customHeight="1" x14ac:dyDescent="0.3">
      <c r="A42" s="65" t="s">
        <v>62</v>
      </c>
      <c r="B42" s="61"/>
      <c r="C42" s="64" t="s">
        <v>63</v>
      </c>
      <c r="D42" s="63"/>
      <c r="E42" s="63"/>
      <c r="F42" s="63"/>
      <c r="G42" s="63"/>
      <c r="H42" s="61"/>
    </row>
    <row r="43" spans="1:8" ht="57.75" customHeight="1" x14ac:dyDescent="0.3">
      <c r="A43" s="65" t="s">
        <v>64</v>
      </c>
      <c r="B43" s="61"/>
      <c r="C43" s="64" t="s">
        <v>65</v>
      </c>
      <c r="D43" s="63"/>
      <c r="E43" s="63"/>
      <c r="F43" s="63"/>
      <c r="G43" s="63"/>
      <c r="H43" s="61"/>
    </row>
    <row r="44" spans="1:8" ht="45" customHeight="1" x14ac:dyDescent="0.3">
      <c r="A44" s="65" t="s">
        <v>66</v>
      </c>
      <c r="B44" s="61"/>
      <c r="C44" s="64" t="s">
        <v>67</v>
      </c>
      <c r="D44" s="63"/>
      <c r="E44" s="63"/>
      <c r="F44" s="63"/>
      <c r="G44" s="63"/>
      <c r="H44" s="61"/>
    </row>
    <row r="45" spans="1:8" ht="31.5" customHeight="1" x14ac:dyDescent="0.3">
      <c r="A45" s="65" t="s">
        <v>68</v>
      </c>
      <c r="B45" s="61"/>
      <c r="C45" s="64" t="s">
        <v>69</v>
      </c>
      <c r="D45" s="63"/>
      <c r="E45" s="63"/>
      <c r="F45" s="63"/>
      <c r="G45" s="63"/>
      <c r="H45" s="61"/>
    </row>
    <row r="46" spans="1:8" x14ac:dyDescent="0.3">
      <c r="A46" s="49"/>
      <c r="B46" s="49"/>
      <c r="C46" s="49"/>
      <c r="D46" s="49"/>
      <c r="E46" s="49"/>
      <c r="F46" s="49"/>
      <c r="G46" s="49"/>
      <c r="H46" s="49"/>
    </row>
    <row r="47" spans="1:8" ht="16.5" customHeight="1" x14ac:dyDescent="0.3">
      <c r="A47" s="67" t="s">
        <v>70</v>
      </c>
      <c r="B47" s="63"/>
      <c r="C47" s="63"/>
      <c r="D47" s="63"/>
      <c r="E47" s="63"/>
      <c r="F47" s="63"/>
      <c r="G47" s="63"/>
      <c r="H47" s="61"/>
    </row>
    <row r="48" spans="1:8" ht="31.5" customHeight="1" x14ac:dyDescent="0.3">
      <c r="A48" s="65" t="s">
        <v>71</v>
      </c>
      <c r="B48" s="61"/>
      <c r="C48" s="57"/>
      <c r="D48" s="57"/>
      <c r="E48" s="68" t="str">
        <f>IF(AND(C48=0,D48=0),"— enter both",IF(ABS(C48-D48)&lt;=1,"Within ±1 of CAM — OK","BEYOND ±1 → reconcile family table with BCM"))</f>
        <v>— enter both</v>
      </c>
      <c r="F48" s="63"/>
      <c r="G48" s="63"/>
      <c r="H48" s="61"/>
    </row>
    <row r="49" spans="1:8" ht="45" customHeight="1" x14ac:dyDescent="0.3">
      <c r="A49" s="65" t="s">
        <v>72</v>
      </c>
      <c r="B49" s="61"/>
      <c r="C49" s="64" t="s">
        <v>73</v>
      </c>
      <c r="D49" s="63"/>
      <c r="E49" s="63"/>
      <c r="F49" s="63"/>
      <c r="G49" s="63"/>
      <c r="H49" s="61"/>
    </row>
    <row r="50" spans="1:8" ht="70.5" customHeight="1" x14ac:dyDescent="0.3">
      <c r="A50" s="65" t="s">
        <v>74</v>
      </c>
      <c r="B50" s="61"/>
      <c r="C50" s="64" t="s">
        <v>75</v>
      </c>
      <c r="D50" s="63"/>
      <c r="E50" s="63"/>
      <c r="F50" s="63"/>
      <c r="G50" s="63"/>
      <c r="H50" s="61"/>
    </row>
    <row r="51" spans="1:8" ht="45" customHeight="1" x14ac:dyDescent="0.3">
      <c r="A51" s="65" t="s">
        <v>76</v>
      </c>
      <c r="B51" s="61"/>
      <c r="C51" s="64" t="s">
        <v>77</v>
      </c>
      <c r="D51" s="63"/>
      <c r="E51" s="63"/>
      <c r="F51" s="63"/>
      <c r="G51" s="63"/>
      <c r="H51" s="61"/>
    </row>
    <row r="52" spans="1:8" x14ac:dyDescent="0.3">
      <c r="A52" s="49"/>
      <c r="B52" s="49"/>
      <c r="C52" s="49"/>
      <c r="D52" s="49"/>
      <c r="E52" s="49"/>
      <c r="F52" s="49"/>
      <c r="G52" s="49"/>
      <c r="H52" s="49"/>
    </row>
    <row r="53" spans="1:8" ht="16.5" customHeight="1" x14ac:dyDescent="0.3">
      <c r="A53" s="67" t="s">
        <v>78</v>
      </c>
      <c r="B53" s="63"/>
      <c r="C53" s="63"/>
      <c r="D53" s="63"/>
      <c r="E53" s="63"/>
      <c r="F53" s="63"/>
      <c r="G53" s="63"/>
      <c r="H53" s="61"/>
    </row>
    <row r="54" spans="1:8" ht="31.5" customHeight="1" x14ac:dyDescent="0.3">
      <c r="A54" s="65" t="s">
        <v>79</v>
      </c>
      <c r="B54" s="61"/>
      <c r="C54" s="58">
        <v>550000</v>
      </c>
      <c r="D54" s="59" t="str">
        <f>IF(Scorecard!B8="","",Scorecard!B8)</f>
        <v/>
      </c>
      <c r="E54" s="68" t="str">
        <f>IF(OR(C54=0,D54=""),"— enter stated amount",IF(ABS(C54-D54)/D54&lt;=0.1,"Within ±10% — Gate K5 OK","OUTSIDE ±10% → RF-2 — reconcile with BCM before sanction"))</f>
        <v>— enter stated amount</v>
      </c>
      <c r="F54" s="63"/>
      <c r="G54" s="63"/>
      <c r="H54" s="61"/>
    </row>
    <row r="55" spans="1:8" ht="57.75" customHeight="1" x14ac:dyDescent="0.3">
      <c r="A55" s="65" t="s">
        <v>80</v>
      </c>
      <c r="B55" s="61"/>
      <c r="C55" s="64" t="s">
        <v>81</v>
      </c>
      <c r="D55" s="63"/>
      <c r="E55" s="63"/>
      <c r="F55" s="63"/>
      <c r="G55" s="63"/>
      <c r="H55" s="61"/>
    </row>
    <row r="56" spans="1:8" ht="57.75" customHeight="1" x14ac:dyDescent="0.3">
      <c r="A56" s="65" t="s">
        <v>82</v>
      </c>
      <c r="B56" s="61"/>
      <c r="C56" s="64" t="s">
        <v>83</v>
      </c>
      <c r="D56" s="63"/>
      <c r="E56" s="63"/>
      <c r="F56" s="63"/>
      <c r="G56" s="63"/>
      <c r="H56" s="61"/>
    </row>
    <row r="57" spans="1:8" ht="45" customHeight="1" x14ac:dyDescent="0.3">
      <c r="A57" s="65" t="s">
        <v>84</v>
      </c>
      <c r="B57" s="61"/>
      <c r="C57" s="64" t="s">
        <v>85</v>
      </c>
      <c r="D57" s="63"/>
      <c r="E57" s="63"/>
      <c r="F57" s="63"/>
      <c r="G57" s="63"/>
      <c r="H57" s="61"/>
    </row>
    <row r="58" spans="1:8" ht="57.75" customHeight="1" x14ac:dyDescent="0.3">
      <c r="A58" s="65" t="s">
        <v>86</v>
      </c>
      <c r="B58" s="61"/>
      <c r="C58" s="64" t="s">
        <v>87</v>
      </c>
      <c r="D58" s="63"/>
      <c r="E58" s="63"/>
      <c r="F58" s="63"/>
      <c r="G58" s="63"/>
      <c r="H58" s="61"/>
    </row>
    <row r="59" spans="1:8" ht="45" customHeight="1" x14ac:dyDescent="0.3">
      <c r="A59" s="65" t="s">
        <v>88</v>
      </c>
      <c r="B59" s="61"/>
      <c r="C59" s="64" t="s">
        <v>89</v>
      </c>
      <c r="D59" s="63"/>
      <c r="E59" s="63"/>
      <c r="F59" s="63"/>
      <c r="G59" s="63"/>
      <c r="H59" s="61"/>
    </row>
    <row r="60" spans="1:8" ht="45" customHeight="1" x14ac:dyDescent="0.3">
      <c r="A60" s="65" t="s">
        <v>90</v>
      </c>
      <c r="B60" s="61"/>
      <c r="C60" s="64" t="s">
        <v>91</v>
      </c>
      <c r="D60" s="63"/>
      <c r="E60" s="63"/>
      <c r="F60" s="63"/>
      <c r="G60" s="63"/>
      <c r="H60" s="61"/>
    </row>
    <row r="61" spans="1:8" ht="57.75" customHeight="1" x14ac:dyDescent="0.3">
      <c r="A61" s="65" t="s">
        <v>92</v>
      </c>
      <c r="B61" s="61"/>
      <c r="C61" s="64" t="s">
        <v>93</v>
      </c>
      <c r="D61" s="63"/>
      <c r="E61" s="63"/>
      <c r="F61" s="63"/>
      <c r="G61" s="63"/>
      <c r="H61" s="61"/>
    </row>
    <row r="62" spans="1:8" ht="57.75" customHeight="1" x14ac:dyDescent="0.3">
      <c r="A62" s="65" t="s">
        <v>94</v>
      </c>
      <c r="B62" s="61"/>
      <c r="C62" s="64" t="s">
        <v>95</v>
      </c>
      <c r="D62" s="63"/>
      <c r="E62" s="63"/>
      <c r="F62" s="63"/>
      <c r="G62" s="63"/>
      <c r="H62" s="61"/>
    </row>
    <row r="63" spans="1:8" ht="70.5" customHeight="1" x14ac:dyDescent="0.3">
      <c r="A63" s="65" t="s">
        <v>96</v>
      </c>
      <c r="B63" s="61"/>
      <c r="C63" s="64" t="s">
        <v>97</v>
      </c>
      <c r="D63" s="63"/>
      <c r="E63" s="63"/>
      <c r="F63" s="63"/>
      <c r="G63" s="63"/>
      <c r="H63" s="61"/>
    </row>
    <row r="64" spans="1:8" x14ac:dyDescent="0.3">
      <c r="A64" s="49"/>
      <c r="B64" s="49"/>
      <c r="C64" s="49"/>
      <c r="D64" s="49"/>
      <c r="E64" s="49"/>
      <c r="F64" s="49"/>
      <c r="G64" s="49"/>
      <c r="H64" s="49"/>
    </row>
    <row r="65" spans="1:8" ht="16.5" customHeight="1" x14ac:dyDescent="0.3">
      <c r="A65" s="67" t="s">
        <v>98</v>
      </c>
      <c r="B65" s="63"/>
      <c r="C65" s="63"/>
      <c r="D65" s="63"/>
      <c r="E65" s="63"/>
      <c r="F65" s="63"/>
      <c r="G65" s="63"/>
      <c r="H65" s="61"/>
    </row>
    <row r="66" spans="1:8" ht="45" customHeight="1" x14ac:dyDescent="0.3">
      <c r="A66" s="65" t="s">
        <v>99</v>
      </c>
      <c r="B66" s="61"/>
      <c r="C66" s="64" t="s">
        <v>100</v>
      </c>
      <c r="D66" s="63"/>
      <c r="E66" s="63"/>
      <c r="F66" s="63"/>
      <c r="G66" s="63"/>
      <c r="H66" s="61"/>
    </row>
    <row r="67" spans="1:8" ht="57.75" customHeight="1" x14ac:dyDescent="0.3">
      <c r="A67" s="65" t="s">
        <v>101</v>
      </c>
      <c r="B67" s="61"/>
      <c r="C67" s="64" t="s">
        <v>102</v>
      </c>
      <c r="D67" s="63"/>
      <c r="E67" s="63"/>
      <c r="F67" s="63"/>
      <c r="G67" s="63"/>
      <c r="H67" s="61"/>
    </row>
    <row r="68" spans="1:8" ht="57.75" customHeight="1" x14ac:dyDescent="0.3">
      <c r="A68" s="65" t="s">
        <v>103</v>
      </c>
      <c r="B68" s="61"/>
      <c r="C68" s="64" t="s">
        <v>104</v>
      </c>
      <c r="D68" s="63"/>
      <c r="E68" s="63"/>
      <c r="F68" s="63"/>
      <c r="G68" s="63"/>
      <c r="H68" s="61"/>
    </row>
    <row r="69" spans="1:8" x14ac:dyDescent="0.3">
      <c r="A69" s="49"/>
      <c r="B69" s="49"/>
      <c r="C69" s="49"/>
      <c r="D69" s="49"/>
      <c r="E69" s="49"/>
      <c r="F69" s="49"/>
      <c r="G69" s="49"/>
      <c r="H69" s="49"/>
    </row>
    <row r="70" spans="1:8" ht="16.5" customHeight="1" x14ac:dyDescent="0.3">
      <c r="A70" s="67" t="s">
        <v>105</v>
      </c>
      <c r="B70" s="63"/>
      <c r="C70" s="63"/>
      <c r="D70" s="63"/>
      <c r="E70" s="63"/>
      <c r="F70" s="63"/>
      <c r="G70" s="63"/>
      <c r="H70" s="61"/>
    </row>
    <row r="71" spans="1:8" ht="36" customHeight="1" x14ac:dyDescent="0.3">
      <c r="A71" s="62" t="s">
        <v>106</v>
      </c>
      <c r="B71" s="63"/>
      <c r="C71" s="63"/>
      <c r="D71" s="63"/>
      <c r="E71" s="63"/>
      <c r="F71" s="63"/>
      <c r="G71" s="63"/>
      <c r="H71" s="61"/>
    </row>
    <row r="72" spans="1:8" ht="19.5" customHeight="1" x14ac:dyDescent="0.3">
      <c r="A72" s="73" t="s">
        <v>107</v>
      </c>
      <c r="B72" s="74"/>
      <c r="C72" s="74"/>
      <c r="D72" s="74"/>
      <c r="E72" s="74"/>
      <c r="F72" s="74"/>
      <c r="G72" s="74"/>
      <c r="H72" s="75"/>
    </row>
    <row r="73" spans="1:8" ht="19.5" customHeight="1" x14ac:dyDescent="0.3">
      <c r="A73" s="76"/>
      <c r="B73" s="77"/>
      <c r="C73" s="77"/>
      <c r="D73" s="77"/>
      <c r="E73" s="77"/>
      <c r="F73" s="77"/>
      <c r="G73" s="77"/>
      <c r="H73" s="78"/>
    </row>
    <row r="74" spans="1:8" ht="19.5" customHeight="1" x14ac:dyDescent="0.3">
      <c r="A74" s="79"/>
      <c r="B74" s="80"/>
      <c r="C74" s="80"/>
      <c r="D74" s="80"/>
      <c r="E74" s="80"/>
      <c r="F74" s="80"/>
      <c r="G74" s="80"/>
      <c r="H74" s="81"/>
    </row>
    <row r="75" spans="1:8" x14ac:dyDescent="0.3">
      <c r="A75" s="49"/>
      <c r="B75" s="49"/>
      <c r="C75" s="49"/>
      <c r="D75" s="49"/>
      <c r="E75" s="49"/>
      <c r="F75" s="49"/>
      <c r="G75" s="49"/>
      <c r="H75" s="49"/>
    </row>
    <row r="76" spans="1:8" ht="16.5" customHeight="1" x14ac:dyDescent="0.3">
      <c r="A76" s="67" t="s">
        <v>108</v>
      </c>
      <c r="B76" s="63"/>
      <c r="C76" s="63"/>
      <c r="D76" s="63"/>
      <c r="E76" s="63"/>
      <c r="F76" s="63"/>
      <c r="G76" s="63"/>
      <c r="H76" s="61"/>
    </row>
    <row r="77" spans="1:8" ht="57.75" customHeight="1" x14ac:dyDescent="0.3">
      <c r="A77" s="65" t="s">
        <v>109</v>
      </c>
      <c r="B77" s="61"/>
      <c r="C77" s="64" t="s">
        <v>110</v>
      </c>
      <c r="D77" s="63"/>
      <c r="E77" s="63"/>
      <c r="F77" s="63"/>
      <c r="G77" s="63"/>
      <c r="H77" s="61"/>
    </row>
    <row r="78" spans="1:8" ht="45" customHeight="1" x14ac:dyDescent="0.3">
      <c r="A78" s="65" t="s">
        <v>111</v>
      </c>
      <c r="B78" s="61"/>
      <c r="C78" s="64" t="s">
        <v>112</v>
      </c>
      <c r="D78" s="63"/>
      <c r="E78" s="63"/>
      <c r="F78" s="63"/>
      <c r="G78" s="63"/>
      <c r="H78" s="61"/>
    </row>
    <row r="79" spans="1:8" ht="45" customHeight="1" x14ac:dyDescent="0.3">
      <c r="A79" s="65" t="s">
        <v>113</v>
      </c>
      <c r="B79" s="61"/>
      <c r="C79" s="64" t="s">
        <v>114</v>
      </c>
      <c r="D79" s="63"/>
      <c r="E79" s="63"/>
      <c r="F79" s="63"/>
      <c r="G79" s="63"/>
      <c r="H79" s="61"/>
    </row>
    <row r="80" spans="1:8" ht="45" customHeight="1" x14ac:dyDescent="0.3">
      <c r="A80" s="65" t="s">
        <v>115</v>
      </c>
      <c r="B80" s="61"/>
      <c r="C80" s="64" t="s">
        <v>116</v>
      </c>
      <c r="D80" s="63"/>
      <c r="E80" s="63"/>
      <c r="F80" s="63"/>
      <c r="G80" s="63"/>
      <c r="H80" s="61"/>
    </row>
    <row r="81" spans="1:8" ht="19.5" customHeight="1" x14ac:dyDescent="0.3">
      <c r="A81" s="72" t="s">
        <v>117</v>
      </c>
      <c r="B81" s="61"/>
      <c r="C81" s="82" t="s">
        <v>118</v>
      </c>
      <c r="D81" s="61"/>
      <c r="E81" s="69" t="s">
        <v>119</v>
      </c>
      <c r="F81" s="63"/>
      <c r="G81" s="63"/>
      <c r="H81" s="61"/>
    </row>
    <row r="82" spans="1:8" x14ac:dyDescent="0.3">
      <c r="A82" s="49"/>
      <c r="B82" s="49"/>
      <c r="C82" s="49"/>
      <c r="D82" s="49"/>
      <c r="E82" s="49"/>
      <c r="F82" s="49"/>
      <c r="G82" s="49"/>
      <c r="H82" s="49"/>
    </row>
    <row r="83" spans="1:8" ht="48" customHeight="1" x14ac:dyDescent="0.3">
      <c r="A83" s="62" t="s">
        <v>120</v>
      </c>
      <c r="B83" s="63"/>
      <c r="C83" s="63"/>
      <c r="D83" s="63"/>
      <c r="E83" s="63"/>
      <c r="F83" s="63"/>
      <c r="G83" s="63"/>
      <c r="H83" s="61"/>
    </row>
  </sheetData>
  <mergeCells count="103">
    <mergeCell ref="E81:H81"/>
    <mergeCell ref="A1:H1"/>
    <mergeCell ref="A6:B6"/>
    <mergeCell ref="C51:H51"/>
    <mergeCell ref="C60:H60"/>
    <mergeCell ref="A65:H65"/>
    <mergeCell ref="A66:B66"/>
    <mergeCell ref="G6:H6"/>
    <mergeCell ref="A50:B50"/>
    <mergeCell ref="A12:H12"/>
    <mergeCell ref="G5:H5"/>
    <mergeCell ref="C49:H49"/>
    <mergeCell ref="C77:H77"/>
    <mergeCell ref="G4:H4"/>
    <mergeCell ref="C42:H42"/>
    <mergeCell ref="A29:B29"/>
    <mergeCell ref="A81:B81"/>
    <mergeCell ref="A72:H74"/>
    <mergeCell ref="C81:D81"/>
    <mergeCell ref="A44:B44"/>
    <mergeCell ref="A13:H15"/>
    <mergeCell ref="A58:B58"/>
    <mergeCell ref="A9:H9"/>
    <mergeCell ref="A41:C41"/>
    <mergeCell ref="A60:B60"/>
    <mergeCell ref="C44:H44"/>
    <mergeCell ref="C80:H80"/>
    <mergeCell ref="E54:H54"/>
    <mergeCell ref="A11:H11"/>
    <mergeCell ref="E41:H41"/>
    <mergeCell ref="G8:H8"/>
    <mergeCell ref="A2:H2"/>
    <mergeCell ref="A47:H47"/>
    <mergeCell ref="A8:B8"/>
    <mergeCell ref="C30:H30"/>
    <mergeCell ref="C8:D8"/>
    <mergeCell ref="C62:H62"/>
    <mergeCell ref="A63:B63"/>
    <mergeCell ref="A77:B77"/>
    <mergeCell ref="A49:B49"/>
    <mergeCell ref="F26:H26"/>
    <mergeCell ref="C56:H56"/>
    <mergeCell ref="A70:H70"/>
    <mergeCell ref="C27:H27"/>
    <mergeCell ref="A55:B55"/>
    <mergeCell ref="C57:H57"/>
    <mergeCell ref="E6:F6"/>
    <mergeCell ref="C66:H66"/>
    <mergeCell ref="A57:B57"/>
    <mergeCell ref="A71:H71"/>
    <mergeCell ref="A5:B5"/>
    <mergeCell ref="A76:H76"/>
    <mergeCell ref="A33:H33"/>
    <mergeCell ref="C68:H68"/>
    <mergeCell ref="A17:H17"/>
    <mergeCell ref="C5:D5"/>
    <mergeCell ref="A45:B45"/>
    <mergeCell ref="E5:F5"/>
    <mergeCell ref="C43:H43"/>
    <mergeCell ref="A79:B79"/>
    <mergeCell ref="A61:B61"/>
    <mergeCell ref="C4:D4"/>
    <mergeCell ref="E4:F4"/>
    <mergeCell ref="G7:H7"/>
    <mergeCell ref="C67:H67"/>
    <mergeCell ref="A18:H18"/>
    <mergeCell ref="A26:B26"/>
    <mergeCell ref="E48:H48"/>
    <mergeCell ref="C28:H28"/>
    <mergeCell ref="A78:B78"/>
    <mergeCell ref="A4:B4"/>
    <mergeCell ref="C58:H58"/>
    <mergeCell ref="A53:H53"/>
    <mergeCell ref="C7:D7"/>
    <mergeCell ref="A43:B43"/>
    <mergeCell ref="E7:F7"/>
    <mergeCell ref="C45:H45"/>
    <mergeCell ref="A67:B67"/>
    <mergeCell ref="C29:H29"/>
    <mergeCell ref="C6:D6"/>
    <mergeCell ref="A83:H83"/>
    <mergeCell ref="C55:H55"/>
    <mergeCell ref="A51:B51"/>
    <mergeCell ref="E8:F8"/>
    <mergeCell ref="C59:H59"/>
    <mergeCell ref="A54:B54"/>
    <mergeCell ref="A7:B7"/>
    <mergeCell ref="C61:H61"/>
    <mergeCell ref="A56:B56"/>
    <mergeCell ref="A27:B27"/>
    <mergeCell ref="A42:B42"/>
    <mergeCell ref="C78:H78"/>
    <mergeCell ref="A32:H32"/>
    <mergeCell ref="A62:B62"/>
    <mergeCell ref="A68:B68"/>
    <mergeCell ref="A28:B28"/>
    <mergeCell ref="C79:H79"/>
    <mergeCell ref="C63:H63"/>
    <mergeCell ref="A48:B48"/>
    <mergeCell ref="A30:B30"/>
    <mergeCell ref="A59:B59"/>
    <mergeCell ref="C50:H50"/>
    <mergeCell ref="A80:B8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0"/>
  <sheetViews>
    <sheetView showGridLines="0" zoomScaleNormal="100" workbookViewId="0">
      <selection activeCell="B54" sqref="B54"/>
    </sheetView>
  </sheetViews>
  <sheetFormatPr defaultColWidth="8.6640625" defaultRowHeight="14.4" x14ac:dyDescent="0.3"/>
  <cols>
    <col min="1" max="1" width="8" style="31" customWidth="1"/>
    <col min="2" max="2" width="95" style="31" customWidth="1"/>
    <col min="3" max="3" width="12" style="31" customWidth="1"/>
    <col min="4" max="4" width="8.6640625" style="31" customWidth="1"/>
    <col min="5" max="16384" width="8.6640625" style="31"/>
  </cols>
  <sheetData>
    <row r="1" spans="1:3" x14ac:dyDescent="0.3">
      <c r="A1" s="88" t="s">
        <v>413</v>
      </c>
      <c r="B1" s="89"/>
      <c r="C1" s="89"/>
    </row>
    <row r="2" spans="1:3" ht="29.25" customHeight="1" x14ac:dyDescent="0.3">
      <c r="A2" s="91" t="s">
        <v>414</v>
      </c>
      <c r="B2" s="89"/>
      <c r="C2" s="89"/>
    </row>
    <row r="4" spans="1:3" x14ac:dyDescent="0.3">
      <c r="A4" s="32" t="s">
        <v>415</v>
      </c>
      <c r="B4" s="33" t="s">
        <v>416</v>
      </c>
      <c r="C4" s="34">
        <f>Scorecard!E86</f>
        <v>53.5</v>
      </c>
    </row>
    <row r="5" spans="1:3" x14ac:dyDescent="0.3">
      <c r="A5" s="35"/>
      <c r="B5" s="36" t="s">
        <v>417</v>
      </c>
      <c r="C5" s="37">
        <f>IF(Scorecard!E86="","",MAX(0,ROUND(90-Scorecard!E86,1)))</f>
        <v>36.5</v>
      </c>
    </row>
    <row r="6" spans="1:3" x14ac:dyDescent="0.3">
      <c r="A6" s="35"/>
      <c r="B6" s="35"/>
      <c r="C6" s="35"/>
    </row>
    <row r="7" spans="1:3" x14ac:dyDescent="0.3">
      <c r="A7" s="38" t="s">
        <v>418</v>
      </c>
      <c r="B7" s="33" t="s">
        <v>419</v>
      </c>
      <c r="C7" s="34" t="s">
        <v>420</v>
      </c>
    </row>
    <row r="8" spans="1:3" x14ac:dyDescent="0.3">
      <c r="A8" s="33" t="str">
        <f>Scorecard!A76</f>
        <v>K1</v>
      </c>
      <c r="B8" s="8" t="str">
        <f>IF(Scorecard!E76="FAIL","GATE FAILED — "&amp;Scorecard!B76,"—")</f>
        <v>GATE FAILED — Valid recording exists — audible both sides, materially complete, duration ≥ 10 minutes (MANDATORY minimum); ideally not beyond 20 minutes (target 15).</v>
      </c>
      <c r="C8" s="39" t="str">
        <f>Scorecard!E76</f>
        <v>FAIL</v>
      </c>
    </row>
    <row r="9" spans="1:3" x14ac:dyDescent="0.3">
      <c r="A9" s="33" t="str">
        <f>Scorecard!A77</f>
        <v>K2</v>
      </c>
      <c r="B9" s="8" t="str">
        <f>IF(Scorecard!E77="FAIL","GATE FAILED — "&amp;Scorecard!B77,"—")</f>
        <v>—</v>
      </c>
      <c r="C9" s="39" t="str">
        <f>Scorecard!E77</f>
        <v>PASS</v>
      </c>
    </row>
    <row r="10" spans="1:3" x14ac:dyDescent="0.3">
      <c r="A10" s="33" t="str">
        <f>Scorecard!A78</f>
        <v>K3</v>
      </c>
      <c r="B10" s="8" t="str">
        <f>IF(Scorecard!E78="FAIL","GATE FAILED — "&amp;Scorecard!B78,"—")</f>
        <v>GATE FAILED — Recording disclosure was made to the customer at the start of the call.</v>
      </c>
      <c r="C10" s="39" t="str">
        <f>Scorecard!E78</f>
        <v>FAIL</v>
      </c>
    </row>
    <row r="11" spans="1:3" x14ac:dyDescent="0.3">
      <c r="A11" s="33" t="str">
        <f>Scorecard!A79</f>
        <v>K4</v>
      </c>
      <c r="B11" s="8" t="str">
        <f>IF(Scorecard!E79="FAIL","GATE FAILED — "&amp;Scorecard!B79,"—")</f>
        <v>—</v>
      </c>
      <c r="C11" s="39" t="str">
        <f>Scorecard!E79</f>
        <v>PASS</v>
      </c>
    </row>
    <row r="12" spans="1:3" x14ac:dyDescent="0.3">
      <c r="A12" s="33" t="str">
        <f>Scorecard!A80</f>
        <v>K5</v>
      </c>
      <c r="B12" s="8" t="str">
        <f>IF(Scorecard!E80="FAIL","GATE FAILED — "&amp;Scorecard!B80,"—")</f>
        <v>—</v>
      </c>
      <c r="C12" s="39" t="str">
        <f>Scorecard!E80</f>
        <v>PASS</v>
      </c>
    </row>
    <row r="13" spans="1:3" x14ac:dyDescent="0.3">
      <c r="A13" s="33" t="str">
        <f>Scorecard!A81</f>
        <v>K6</v>
      </c>
      <c r="B13" s="8" t="str">
        <f>IF(Scorecard!E81="FAIL","GATE FAILED — "&amp;Scorecard!B81,"—")</f>
        <v>—</v>
      </c>
      <c r="C13" s="39" t="str">
        <f>Scorecard!E81</f>
        <v>PASS</v>
      </c>
    </row>
    <row r="14" spans="1:3" x14ac:dyDescent="0.3">
      <c r="A14" s="33" t="str">
        <f>Scorecard!A82</f>
        <v>K7</v>
      </c>
      <c r="B14" s="8" t="str">
        <f>IF(Scorecard!E82="FAIL","GATE FAILED — "&amp;Scorecard!B82,"—")</f>
        <v>—</v>
      </c>
      <c r="C14" s="39" t="str">
        <f>Scorecard!E82</f>
        <v>PASS</v>
      </c>
    </row>
    <row r="15" spans="1:3" x14ac:dyDescent="0.3">
      <c r="A15" s="33" t="str">
        <f>Scorecard!A83</f>
        <v>K8</v>
      </c>
      <c r="B15" s="8" t="str">
        <f>IF(Scorecard!E83="FAIL","GATE FAILED — "&amp;Scorecard!B83,"—")</f>
        <v>—</v>
      </c>
      <c r="C15" s="39" t="str">
        <f>Scorecard!E83</f>
        <v>PASS</v>
      </c>
    </row>
    <row r="16" spans="1:3" x14ac:dyDescent="0.3">
      <c r="A16" s="33" t="str">
        <f>Scorecard!A84</f>
        <v>K9</v>
      </c>
      <c r="B16" s="8" t="str">
        <f>IF(Scorecard!E84="FAIL","GATE FAILED — "&amp;Scorecard!B84,"—")</f>
        <v>—</v>
      </c>
      <c r="C16" s="39" t="str">
        <f>Scorecard!E84</f>
        <v>PASS</v>
      </c>
    </row>
    <row r="18" spans="1:3" x14ac:dyDescent="0.3">
      <c r="A18" s="40" t="s">
        <v>421</v>
      </c>
      <c r="B18" s="40" t="s">
        <v>422</v>
      </c>
      <c r="C18" s="40" t="s">
        <v>423</v>
      </c>
    </row>
    <row r="19" spans="1:3" x14ac:dyDescent="0.3">
      <c r="A19" s="33" t="str">
        <f>Scorecard!A12</f>
        <v>A1</v>
      </c>
      <c r="B19" s="8" t="str">
        <f>IF(Scorecard!G12="None","MISSED — "&amp;Scorecard!B12&amp;" | Ask: "&amp;Scorecard!C12,IF(Scorecard!G12="Partial","INCOMPLETE — "&amp;Scorecard!B12&amp;" | Asked but not fully probed/confirmed.",""))</f>
        <v>MISSED — Recording disclosure made at the start of the call | Ask: Inform the customer the call is being recorded for loan verification. / “Yeh call recording par hai, loan verification ke liye.”</v>
      </c>
      <c r="C19" s="39">
        <f>IF(Scorecard!G12="None",Scorecard!F12,IF(Scorecard!G12="Partial",Scorecard!F12/2,""))</f>
        <v>2</v>
      </c>
    </row>
    <row r="20" spans="1:3" x14ac:dyDescent="0.3">
      <c r="A20" s="33" t="str">
        <f>Scorecard!A13</f>
        <v>A2</v>
      </c>
      <c r="B20" s="8" t="str">
        <f>IF(Scorecard!G13="None","MISSED — "&amp;Scorecard!B13&amp;" | Ask: "&amp;Scorecard!C13,IF(Scorecard!G13="Partial","INCOMPLETE — "&amp;Scorecard!B13&amp;" | Asked but not fully probed/confirmed.",""))</f>
        <v>INCOMPLETE — Identity validated — RCM is speaking to the MAIN BORROWER himself/herself | Asked but not fully probed/confirmed.</v>
      </c>
      <c r="C20" s="39">
        <f>IF(Scorecard!G13="None",Scorecard!F13,IF(Scorecard!G13="Partial",Scorecard!F13/2,""))</f>
        <v>1</v>
      </c>
    </row>
    <row r="21" spans="1:3" x14ac:dyDescent="0.3">
      <c r="A21" s="33" t="str">
        <f>Scorecard!A14</f>
        <v>A3</v>
      </c>
      <c r="B21" s="8" t="str">
        <f>IF(Scorecard!G14="None","MISSED — "&amp;Scorecard!B14&amp;" | Ask: "&amp;Scorecard!C14,IF(Scorecard!G14="Partial","INCOMPLETE — "&amp;Scorecard!B14&amp;" | Asked but not fully probed/confirmed.",""))</f>
        <v/>
      </c>
      <c r="C21" s="39" t="str">
        <f>IF(Scorecard!G14="None",Scorecard!F14,IF(Scorecard!G14="Partial",Scorecard!F14/2,""))</f>
        <v/>
      </c>
    </row>
    <row r="22" spans="1:3" x14ac:dyDescent="0.3">
      <c r="A22" s="33" t="str">
        <f>Scorecard!A15</f>
        <v>A4</v>
      </c>
      <c r="B22" s="8" t="str">
        <f>IF(Scorecard!G15="None","MISSED — "&amp;Scorecard!B15&amp;" | Ask: "&amp;Scorecard!C15,IF(Scorecard!G15="Partial","INCOMPLETE — "&amp;Scorecard!B15&amp;" | Asked but not fully probed/confirmed.",""))</f>
        <v/>
      </c>
      <c r="C22" s="39" t="str">
        <f>IF(Scorecard!G15="None",Scorecard!F15,IF(Scorecard!G15="Partial",Scorecard!F15/2,""))</f>
        <v/>
      </c>
    </row>
    <row r="23" spans="1:3" x14ac:dyDescent="0.3">
      <c r="A23" s="33" t="str">
        <f>Scorecard!A16</f>
        <v>A5</v>
      </c>
      <c r="B23" s="8" t="str">
        <f>IF(Scorecard!G16="None","MISSED — "&amp;Scorecard!B16&amp;" | Ask: "&amp;Scorecard!C16,IF(Scorecard!G16="Partial","INCOMPLETE — "&amp;Scorecard!B16&amp;" | Asked but not fully probed/confirmed.",""))</f>
        <v>INCOMPLETE — Co-borrower(s) identified and covered | Asked but not fully probed/confirmed.</v>
      </c>
      <c r="C23" s="39">
        <f>IF(Scorecard!G16="None",Scorecard!F16,IF(Scorecard!G16="Partial",Scorecard!F16/2,""))</f>
        <v>0.5</v>
      </c>
    </row>
    <row r="24" spans="1:3" x14ac:dyDescent="0.3">
      <c r="A24" s="33" t="str">
        <f>Scorecard!A18</f>
        <v>B1</v>
      </c>
      <c r="B24" s="8" t="str">
        <f>IF(Scorecard!G18="None","MISSED — "&amp;Scorecard!B18&amp;" | Ask: "&amp;Scorecard!C18,IF(Scorecard!G18="Partial","INCOMPLETE — "&amp;Scorecard!B18&amp;" | Asked but not fully probed/confirmed.",""))</f>
        <v>INCOMPLETE — Loan amount stated by the customer and matches the CAM | Asked but not fully probed/confirmed.</v>
      </c>
      <c r="C24" s="39">
        <f>IF(Scorecard!G18="None",Scorecard!F18,IF(Scorecard!G18="Partial",Scorecard!F18/2,""))</f>
        <v>1.5</v>
      </c>
    </row>
    <row r="25" spans="1:3" x14ac:dyDescent="0.3">
      <c r="A25" s="33" t="str">
        <f>Scorecard!A19</f>
        <v>B2</v>
      </c>
      <c r="B25" s="8" t="str">
        <f>IF(Scorecard!G19="None","MISSED — "&amp;Scorecard!B19&amp;" | Ask: "&amp;Scorecard!C19,IF(Scorecard!G19="Partial","INCOMPLETE — "&amp;Scorecard!B19&amp;" | Asked but not fully probed/confirmed.",""))</f>
        <v>INCOMPLETE — BCM field visit verified with the customer | Asked but not fully probed/confirmed.</v>
      </c>
      <c r="C25" s="39">
        <f>IF(Scorecard!G19="None",Scorecard!F19,IF(Scorecard!G19="Partial",Scorecard!F19/2,""))</f>
        <v>1.5</v>
      </c>
    </row>
    <row r="26" spans="1:3" x14ac:dyDescent="0.3">
      <c r="A26" s="33" t="str">
        <f>Scorecard!A20</f>
        <v>B3</v>
      </c>
      <c r="B26" s="8" t="str">
        <f>IF(Scorecard!G20="None","MISSED — "&amp;Scorecard!B20&amp;" | Ask: "&amp;Scorecard!C20,IF(Scorecard!G20="Partial","INCOMPLETE — "&amp;Scorecard!B20&amp;" | Asked but not fully probed/confirmed.",""))</f>
        <v>MISSED — Zero-commission integrity check | Ask: “Kya Prodigee ke kisi staff, DSA ya kisi aur ne is loan ke liye aapse commission, fees ya paisa manga hai?” — and inform: Prodigee has a ZERO COMMISSION policy; only official charges via KFS.</v>
      </c>
      <c r="C26" s="39">
        <f>IF(Scorecard!G20="None",Scorecard!F20,IF(Scorecard!G20="Partial",Scorecard!F20/2,""))</f>
        <v>2</v>
      </c>
    </row>
    <row r="27" spans="1:3" x14ac:dyDescent="0.3">
      <c r="A27" s="33" t="str">
        <f>Scorecard!A21</f>
        <v>B4</v>
      </c>
      <c r="B27" s="8" t="str">
        <f>IF(Scorecard!G21="None","MISSED — "&amp;Scorecard!B21&amp;" | Ask: "&amp;Scorecard!C21,IF(Scorecard!G21="Partial","INCOMPLETE — "&amp;Scorecard!B21&amp;" | Asked but not fully probed/confirmed.",""))</f>
        <v/>
      </c>
      <c r="C27" s="39" t="str">
        <f>IF(Scorecard!G21="None",Scorecard!F21,IF(Scorecard!G21="Partial",Scorecard!F21/2,""))</f>
        <v/>
      </c>
    </row>
    <row r="28" spans="1:3" x14ac:dyDescent="0.3">
      <c r="A28" s="33" t="str">
        <f>Scorecard!A22</f>
        <v>B5</v>
      </c>
      <c r="B28" s="8" t="str">
        <f>IF(Scorecard!G22="None","MISSED — "&amp;Scorecard!B22&amp;" | Ask: "&amp;Scorecard!C22,IF(Scorecard!G22="Partial","INCOMPLETE — "&amp;Scorecard!B22&amp;" | Asked but not fully probed/confirmed.",""))</f>
        <v/>
      </c>
      <c r="C28" s="39" t="str">
        <f>IF(Scorecard!G22="None",Scorecard!F22,IF(Scorecard!G22="Partial",Scorecard!F22/2,""))</f>
        <v/>
      </c>
    </row>
    <row r="29" spans="1:3" ht="28.8" x14ac:dyDescent="0.3">
      <c r="A29" s="33" t="str">
        <f>Scorecard!A24</f>
        <v>C1</v>
      </c>
      <c r="B29" s="8" t="str">
        <f>IF(Scorecard!G24="None","MISSED — "&amp;Scorecard!B24&amp;" | Ask: "&amp;Scorecard!C24,IF(Scorecard!G24="Partial","INCOMPLETE — "&amp;Scorecard!B24&amp;" | Asked but not fully probed/confirmed.",""))</f>
        <v>INCOMPLETE — End use stated by the customer in their own words — and genuineness tested | Asked but not fully probed/confirmed.</v>
      </c>
      <c r="C29" s="39">
        <f>IF(Scorecard!G24="None",Scorecard!F24,IF(Scorecard!G24="Partial",Scorecard!F24/2,""))</f>
        <v>2</v>
      </c>
    </row>
    <row r="30" spans="1:3" x14ac:dyDescent="0.3">
      <c r="A30" s="33" t="str">
        <f>Scorecard!A25</f>
        <v>C2</v>
      </c>
      <c r="B30" s="8" t="str">
        <f>IF(Scorecard!G25="None","MISSED — "&amp;Scorecard!B25&amp;" | Ask: "&amp;Scorecard!C25,IF(Scorecard!G25="Partial","INCOMPLETE — "&amp;Scorecard!B25&amp;" | Asked but not fully probed/confirmed.",""))</f>
        <v>INCOMPLETE — End use screened against restricted list | Asked but not fully probed/confirmed.</v>
      </c>
      <c r="C30" s="39">
        <f>IF(Scorecard!G25="None",Scorecard!F25,IF(Scorecard!G25="Partial",Scorecard!F25/2,""))</f>
        <v>1.5</v>
      </c>
    </row>
    <row r="31" spans="1:3" ht="28.8" x14ac:dyDescent="0.3">
      <c r="A31" s="33" t="str">
        <f>Scorecard!A26</f>
        <v>C3</v>
      </c>
      <c r="B31" s="8" t="str">
        <f>IF(Scorecard!G26="None","MISSED — "&amp;Scorecard!B26&amp;" | Ask: "&amp;Scorecard!C26,IF(Scorecard!G26="Partial","INCOMPLETE — "&amp;Scorecard!B26&amp;" | Asked but not fully probed/confirmed.",""))</f>
        <v>MISSED — Utilisation plan probed (how much, where, when) | Ask: “Kitna paisa kahan lagega? Kab tak use karenge?” — break-up for mixed use (e.g. debt consolidation + working capital).</v>
      </c>
      <c r="C31" s="39">
        <f>IF(Scorecard!G26="None",Scorecard!F26,IF(Scorecard!G26="Partial",Scorecard!F26/2,""))</f>
        <v>3</v>
      </c>
    </row>
    <row r="32" spans="1:3" x14ac:dyDescent="0.3">
      <c r="A32" s="33" t="str">
        <f>Scorecard!A28</f>
        <v>D1</v>
      </c>
      <c r="B32" s="8" t="str">
        <f>IF(Scorecard!G28="None","MISSED — "&amp;Scorecard!B28&amp;" | Ask: "&amp;Scorecard!C28,IF(Scorecard!G28="Partial","INCOMPLETE — "&amp;Scorecard!B28&amp;" | Asked but not fully probed/confirmed.",""))</f>
        <v/>
      </c>
      <c r="C32" s="39" t="str">
        <f>IF(Scorecard!G28="None",Scorecard!F28,IF(Scorecard!G28="Partial",Scorecard!F28/2,""))</f>
        <v/>
      </c>
    </row>
    <row r="33" spans="1:3" ht="43.2" x14ac:dyDescent="0.3">
      <c r="A33" s="33" t="str">
        <f>Scorecard!A29</f>
        <v>D2</v>
      </c>
      <c r="B33" s="8" t="str">
        <f>IF(Scorecard!G29="None","MISSED — "&amp;Scorecard!B29&amp;" | Ask: "&amp;Scorecard!C29,IF(Scorecard!G29="Partial","INCOMPLETE — "&amp;Scorecard!B29&amp;" | Asked but not fully probed/confirmed.",""))</f>
        <v>MISSED — References taken to corroborate assessed incomes | Ask: “Aap kin ke saath kaam karte hain — koi 2–3 naam/number dijiye (supplier, buyer, thekedar, society)?” — assessed incomes need references so Credit can verify claims.</v>
      </c>
      <c r="C33" s="39">
        <f>IF(Scorecard!G29="None",Scorecard!F29,IF(Scorecard!G29="Partial",Scorecard!F29/2,""))</f>
        <v>2</v>
      </c>
    </row>
    <row r="34" spans="1:3" ht="28.8" x14ac:dyDescent="0.3">
      <c r="A34" s="33" t="str">
        <f>Scorecard!A30</f>
        <v>D3</v>
      </c>
      <c r="B34" s="8" t="str">
        <f>IF(Scorecard!G30="None","MISSED — "&amp;Scorecard!B30&amp;" | Ask: "&amp;Scorecard!C30,IF(Scorecard!G30="Partial","INCOMPLETE — "&amp;Scorecard!B30&amp;" | Asked but not fully probed/confirmed.",""))</f>
        <v>INCOMPLETE — Income quantum grilled per business — totals, profit %, margins — vs BCM assessment | Asked but not fully probed/confirmed.</v>
      </c>
      <c r="C34" s="39">
        <f>IF(Scorecard!G30="None",Scorecard!F30,IF(Scorecard!G30="Partial",Scorecard!F30/2,""))</f>
        <v>2.5</v>
      </c>
    </row>
    <row r="35" spans="1:3" ht="28.8" x14ac:dyDescent="0.3">
      <c r="A35" s="33" t="str">
        <f>Scorecard!A31</f>
        <v>D4</v>
      </c>
      <c r="B35" s="8" t="str">
        <f>IF(Scorecard!G31="None","MISSED — "&amp;Scorecard!B31&amp;" | Ask: "&amp;Scorecard!C31,IF(Scorecard!G31="Partial","INCOMPLETE — "&amp;Scorecard!B31&amp;" | Asked but not fully probed/confirmed.",""))</f>
        <v>INCOMPLETE — Agricultural income probed in full + incomes the BCM may have missed | Asked but not fully probed/confirmed.</v>
      </c>
      <c r="C35" s="39">
        <f>IF(Scorecard!G31="None",Scorecard!F31,IF(Scorecard!G31="Partial",Scorecard!F31/2,""))</f>
        <v>2</v>
      </c>
    </row>
    <row r="36" spans="1:3" x14ac:dyDescent="0.3">
      <c r="A36" s="33" t="str">
        <f>Scorecard!A32</f>
        <v>D5</v>
      </c>
      <c r="B36" s="8" t="str">
        <f>IF(Scorecard!G32="None","MISSED — "&amp;Scorecard!B32&amp;" | Ask: "&amp;Scorecard!C32,IF(Scorecard!G32="Partial","INCOMPLETE — "&amp;Scorecard!B32&amp;" | Asked but not fully probed/confirmed.",""))</f>
        <v>INCOMPLETE — AA output reconciled on the call | Asked but not fully probed/confirmed.</v>
      </c>
      <c r="C36" s="39">
        <f>IF(Scorecard!G32="None",Scorecard!F32,IF(Scorecard!G32="Partial",Scorecard!F32/2,""))</f>
        <v>1.5</v>
      </c>
    </row>
    <row r="37" spans="1:3" ht="57.6" x14ac:dyDescent="0.3">
      <c r="A37" s="33" t="str">
        <f>Scorecard!A33</f>
        <v>D6</v>
      </c>
      <c r="B37" s="8" t="str">
        <f>IF(Scorecard!G33="None","MISSED — "&amp;Scorecard!B33&amp;" | Ask: "&amp;Scorecard!C33,IF(Scorecard!G33="Partial","INCOMPLETE — "&amp;Scorecard!B33&amp;" | Asked but not fully probed/confirmed.",""))</f>
        <v>MISSED — BCM assessment reasonableness reviewed | Ask: RCM forms and records a view: BCM income/obligation assessment too conservative or too aggressive? Anything critical missed? Household earners mapped vs CAM. Any income source surfaced on call that the BCM missed MUST be assessed and included in the final CAM and the RCM decision note.</v>
      </c>
      <c r="C37" s="39">
        <f>IF(Scorecard!G33="None",Scorecard!F33,IF(Scorecard!G33="Partial",Scorecard!F33/2,""))</f>
        <v>3</v>
      </c>
    </row>
    <row r="38" spans="1:3" ht="28.8" x14ac:dyDescent="0.3">
      <c r="A38" s="33" t="str">
        <f>Scorecard!A35</f>
        <v>E1</v>
      </c>
      <c r="B38" s="8" t="str">
        <f>IF(Scorecard!G35="None","MISSED — "&amp;Scorecard!B35&amp;" | Ask: "&amp;Scorecard!C35,IF(Scorecard!G35="Partial","INCOMPLETE — "&amp;Scorecard!B35&amp;" | Asked but not fully probed/confirmed.",""))</f>
        <v>INCOMPLETE — Obligations enumerated by the customer and reconciled — bureau, CAM and market | Asked but not fully probed/confirmed.</v>
      </c>
      <c r="C38" s="39">
        <f>IF(Scorecard!G35="None",Scorecard!F35,IF(Scorecard!G35="Partial",Scorecard!F35/2,""))</f>
        <v>2.5</v>
      </c>
    </row>
    <row r="39" spans="1:3" ht="28.8" x14ac:dyDescent="0.3">
      <c r="A39" s="33" t="str">
        <f>Scorecard!A36</f>
        <v>E2</v>
      </c>
      <c r="B39" s="8" t="str">
        <f>IF(Scorecard!G36="None","MISSED — "&amp;Scorecard!B36&amp;" | Ask: "&amp;Scorecard!C36,IF(Scorecard!G36="Partial","INCOMPLETE — "&amp;Scorecard!B36&amp;" | Asked but not fully probed/confirmed.",""))</f>
        <v>INCOMPLETE — Specific probes — MFI/group, KCC, society/PACS, gold and hand loans | Asked but not fully probed/confirmed.</v>
      </c>
      <c r="C39" s="39">
        <f>IF(Scorecard!G36="None",Scorecard!F36,IF(Scorecard!G36="Partial",Scorecard!F36/2,""))</f>
        <v>1.5</v>
      </c>
    </row>
    <row r="40" spans="1:3" x14ac:dyDescent="0.3">
      <c r="A40" s="33" t="str">
        <f>Scorecard!A37</f>
        <v>E3</v>
      </c>
      <c r="B40" s="8" t="str">
        <f>IF(Scorecard!G37="None","MISSED — "&amp;Scorecard!B37&amp;" | Ask: "&amp;Scorecard!C37,IF(Scorecard!G37="Partial","INCOMPLETE — "&amp;Scorecard!B37&amp;" | Asked but not fully probed/confirmed.",""))</f>
        <v/>
      </c>
      <c r="C40" s="39" t="str">
        <f>IF(Scorecard!G37="None",Scorecard!F37,IF(Scorecard!G37="Partial",Scorecard!F37/2,""))</f>
        <v/>
      </c>
    </row>
    <row r="41" spans="1:3" x14ac:dyDescent="0.3">
      <c r="A41" s="33" t="str">
        <f>Scorecard!A38</f>
        <v>E4</v>
      </c>
      <c r="B41" s="8" t="str">
        <f>IF(Scorecard!G38="None","MISSED — "&amp;Scorecard!B38&amp;" | Ask: "&amp;Scorecard!C38,IF(Scorecard!G38="Partial","INCOMPLETE — "&amp;Scorecard!B38&amp;" | Asked but not fully probed/confirmed.",""))</f>
        <v/>
      </c>
      <c r="C41" s="39" t="str">
        <f>IF(Scorecard!G38="None",Scorecard!F38,IF(Scorecard!G38="Partial",Scorecard!F38/2,""))</f>
        <v/>
      </c>
    </row>
    <row r="42" spans="1:3" ht="28.8" x14ac:dyDescent="0.3">
      <c r="A42" s="33" t="str">
        <f>Scorecard!A40</f>
        <v>F1</v>
      </c>
      <c r="B42" s="8" t="str">
        <f>IF(Scorecard!G40="None","MISSED — "&amp;Scorecard!B40&amp;" | Ask: "&amp;Scorecard!C40,IF(Scorecard!G40="Partial","INCOMPLETE — "&amp;Scorecard!B40&amp;" | Asked but not fully probed/confirmed.",""))</f>
        <v>INCOMPLETE — Family members, dependents and household expenses confirmed vs CAM | Asked but not fully probed/confirmed.</v>
      </c>
      <c r="C42" s="39">
        <f>IF(Scorecard!G40="None",Scorecard!F40,IF(Scorecard!G40="Partial",Scorecard!F40/2,""))</f>
        <v>1</v>
      </c>
    </row>
    <row r="43" spans="1:3" ht="28.8" x14ac:dyDescent="0.3">
      <c r="A43" s="33" t="str">
        <f>Scorecard!A41</f>
        <v>F2</v>
      </c>
      <c r="B43" s="8" t="str">
        <f>IF(Scorecard!G41="None","MISSED — "&amp;Scorecard!B41&amp;" | Ask: "&amp;Scorecard!C41,IF(Scorecard!G41="Partial","INCOMPLETE — "&amp;Scorecard!B41&amp;" | Asked but not fully probed/confirmed.",""))</f>
        <v>MISSED — Co-borrower spoken to on the call and awareness probed | Ask: “[Co-borrower] se baat ho sakti hai?” — speak to co-borrower on this call (or log separate call); probe awareness of loan, amount and purpose.</v>
      </c>
      <c r="C43" s="39">
        <f>IF(Scorecard!G41="None",Scorecard!F41,IF(Scorecard!G41="Partial",Scorecard!F41/2,""))</f>
        <v>3</v>
      </c>
    </row>
    <row r="44" spans="1:3" x14ac:dyDescent="0.3">
      <c r="A44" s="33" t="str">
        <f>Scorecard!A42</f>
        <v>F3</v>
      </c>
      <c r="B44" s="8" t="str">
        <f>IF(Scorecard!G42="None","MISSED — "&amp;Scorecard!B42&amp;" | Ask: "&amp;Scorecard!C42,IF(Scorecard!G42="Partial","INCOMPLETE — "&amp;Scorecard!B42&amp;" | Asked but not fully probed/confirmed.",""))</f>
        <v/>
      </c>
      <c r="C44" s="39" t="str">
        <f>IF(Scorecard!G42="None",Scorecard!F42,IF(Scorecard!G42="Partial",Scorecard!F42/2,""))</f>
        <v/>
      </c>
    </row>
    <row r="45" spans="1:3" x14ac:dyDescent="0.3">
      <c r="A45" s="33" t="str">
        <f>Scorecard!A44</f>
        <v>G1</v>
      </c>
      <c r="B45" s="8" t="str">
        <f>IF(Scorecard!G44="None","MISSED — "&amp;Scorecard!B44&amp;" | Ask: "&amp;Scorecard!C44,IF(Scorecard!G44="Partial","INCOMPLETE — "&amp;Scorecard!B44&amp;" | Asked but not fully probed/confirmed.",""))</f>
        <v>INCOMPLETE — Collateral type identified and the ACTUAL owner confirmed | Asked but not fully probed/confirmed.</v>
      </c>
      <c r="C45" s="39">
        <f>IF(Scorecard!G44="None",Scorecard!F44,IF(Scorecard!G44="Partial",Scorecard!F44/2,""))</f>
        <v>1.5</v>
      </c>
    </row>
    <row r="46" spans="1:3" x14ac:dyDescent="0.3">
      <c r="A46" s="33" t="str">
        <f>Scorecard!A45</f>
        <v>G2</v>
      </c>
      <c r="B46" s="8" t="str">
        <f>IF(Scorecard!G45="None","MISSED — "&amp;Scorecard!B45&amp;" | Ask: "&amp;Scorecard!C45,IF(Scorecard!G45="Partial","INCOMPLETE — "&amp;Scorecard!B45&amp;" | Asked but not fully probed/confirmed.",""))</f>
        <v/>
      </c>
      <c r="C46" s="39" t="str">
        <f>IF(Scorecard!G45="None",Scorecard!F45,IF(Scorecard!G45="Partial",Scorecard!F45/2,""))</f>
        <v/>
      </c>
    </row>
    <row r="47" spans="1:3" x14ac:dyDescent="0.3">
      <c r="A47" s="33" t="str">
        <f>Scorecard!A46</f>
        <v>G3</v>
      </c>
      <c r="B47" s="8" t="str">
        <f>IF(Scorecard!G46="None","MISSED — "&amp;Scorecard!B46&amp;" | Ask: "&amp;Scorecard!C46,IF(Scorecard!G46="Partial","INCOMPLETE — "&amp;Scorecard!B46&amp;" | Asked but not fully probed/confirmed.",""))</f>
        <v/>
      </c>
      <c r="C47" s="39" t="str">
        <f>IF(Scorecard!G46="None",Scorecard!F46,IF(Scorecard!G46="Partial",Scorecard!F46/2,""))</f>
        <v/>
      </c>
    </row>
    <row r="48" spans="1:3" x14ac:dyDescent="0.3">
      <c r="A48" s="33" t="str">
        <f>Scorecard!A48</f>
        <v>H1</v>
      </c>
      <c r="B48" s="8" t="str">
        <f>IF(Scorecard!G48="None","MISSED — "&amp;Scorecard!B48&amp;" | Ask: "&amp;Scorecard!C48,IF(Scorecard!G48="Partial","INCOMPLETE — "&amp;Scorecard!B48&amp;" | Asked but not fully probed/confirmed.",""))</f>
        <v/>
      </c>
      <c r="C48" s="39" t="str">
        <f>IF(Scorecard!G48="None",Scorecard!F48,IF(Scorecard!G48="Partial",Scorecard!F48/2,""))</f>
        <v/>
      </c>
    </row>
    <row r="49" spans="1:3" x14ac:dyDescent="0.3">
      <c r="A49" s="33" t="str">
        <f>Scorecard!A49</f>
        <v>H2</v>
      </c>
      <c r="B49" s="8" t="str">
        <f>IF(Scorecard!G49="None","MISSED — "&amp;Scorecard!B49&amp;" | Ask: "&amp;Scorecard!C49,IF(Scorecard!G49="Partial","INCOMPLETE — "&amp;Scorecard!B49&amp;" | Asked but not fully probed/confirmed.",""))</f>
        <v>INCOMPLETE — Surplus / affordability sanity-check discussed | Asked but not fully probed/confirmed.</v>
      </c>
      <c r="C49" s="39">
        <f>IF(Scorecard!G49="None",Scorecard!F49,IF(Scorecard!G49="Partial",Scorecard!F49/2,""))</f>
        <v>1</v>
      </c>
    </row>
    <row r="50" spans="1:3" ht="43.2" x14ac:dyDescent="0.3">
      <c r="A50" s="33" t="str">
        <f>Scorecard!A50</f>
        <v>H3</v>
      </c>
      <c r="B50" s="8" t="str">
        <f>IF(Scorecard!G50="None","MISSED — "&amp;Scorecard!B50&amp;" | Ask: "&amp;Scorecard!C50,IF(Scorecard!G50="Partial","INCOMPLETE — "&amp;Scorecard!B50&amp;" | Asked but not fully probed/confirmed.",""))</f>
        <v>MISSED — Repayment INTENT probed — default indicators + commitment | Ask: Test intent, not just capacity: attitude to EMI, past wilful delays, “EMI late hui to?”; NACH commitment. Reluctance on mortgage/NACH/conditions = RF-10.</v>
      </c>
      <c r="C50" s="39">
        <f>IF(Scorecard!G50="None",Scorecard!F50,IF(Scorecard!G50="Partial",Scorecard!F50/2,""))</f>
        <v>3</v>
      </c>
    </row>
    <row r="51" spans="1:3" ht="28.8" x14ac:dyDescent="0.3">
      <c r="A51" s="33" t="str">
        <f>Scorecard!A52</f>
        <v>I1</v>
      </c>
      <c r="B51" s="8" t="str">
        <f>IF(Scorecard!G52="None","MISSED — "&amp;Scorecard!B52&amp;" | Ask: "&amp;Scorecard!C52,IF(Scorecard!G52="Partial","INCOMPLETE — "&amp;Scorecard!B52&amp;" | Asked but not fully probed/confirmed.",""))</f>
        <v>MISSED — Zero Commission Policy &amp; Fair Practices stated | Ask: “Prodigee mein kisi ko koi commission nahi dena — zero commission policy hai. Sab charges official hain aur likhit milenge.”</v>
      </c>
      <c r="C51" s="39">
        <f>IF(Scorecard!G52="None",Scorecard!F52,IF(Scorecard!G52="Partial",Scorecard!F52/2,""))</f>
        <v>2</v>
      </c>
    </row>
    <row r="52" spans="1:3" x14ac:dyDescent="0.3">
      <c r="A52" s="33" t="str">
        <f>Scorecard!A53</f>
        <v>I2</v>
      </c>
      <c r="B52" s="8" t="str">
        <f>IF(Scorecard!G53="None","MISSED — "&amp;Scorecard!B53&amp;" | Ask: "&amp;Scorecard!C53,IF(Scorecard!G53="Partial","INCOMPLETE — "&amp;Scorecard!B53&amp;" | Asked but not fully probed/confirmed.",""))</f>
        <v>INCOMPLETE — Indicative EMI communicated briefly | Asked but not fully probed/confirmed.</v>
      </c>
      <c r="C52" s="39">
        <f>IF(Scorecard!G53="None",Scorecard!F53,IF(Scorecard!G53="Partial",Scorecard!F53/2,""))</f>
        <v>1</v>
      </c>
    </row>
    <row r="53" spans="1:3" x14ac:dyDescent="0.3">
      <c r="A53" s="33" t="str">
        <f>Scorecard!A54</f>
        <v>I3</v>
      </c>
      <c r="B53" s="8" t="str">
        <f>IF(Scorecard!G54="None","MISSED — "&amp;Scorecard!B54&amp;" | Ask: "&amp;Scorecard!C54,IF(Scorecard!G54="Partial","INCOMPLETE — "&amp;Scorecard!B54&amp;" | Asked but not fully probed/confirmed.",""))</f>
        <v/>
      </c>
      <c r="C53" s="39" t="str">
        <f>IF(Scorecard!G54="None",Scorecard!F54,IF(Scorecard!G54="Partial",Scorecard!F54/2,""))</f>
        <v/>
      </c>
    </row>
    <row r="54" spans="1:3" ht="28.8" x14ac:dyDescent="0.3">
      <c r="A54" s="33" t="str">
        <f>Scorecard!A55</f>
        <v>I4</v>
      </c>
      <c r="B54" s="8" t="str">
        <f>IF(Scorecard!G55="None","MISSED — "&amp;Scorecard!B55&amp;" | Ask: "&amp;Scorecard!C55,IF(Scorecard!G55="Partial","INCOMPLETE — "&amp;Scorecard!B55&amp;" | Asked but not fully probed/confirmed.",""))</f>
        <v>INCOMPLETE — Next steps, pending documents and grievance channel summarised | Asked but not fully probed/confirmed.</v>
      </c>
      <c r="C54" s="39">
        <f>IF(Scorecard!G55="None",Scorecard!F55,IF(Scorecard!G55="Partial",Scorecard!F55/2,""))</f>
        <v>1</v>
      </c>
    </row>
    <row r="55" spans="1:3" ht="28.8" x14ac:dyDescent="0.3">
      <c r="A55" s="33" t="str">
        <f>Scorecard!A57</f>
        <v>J1</v>
      </c>
      <c r="B55" s="8" t="str">
        <f>IF(Scorecard!G57="None","MISSED — "&amp;Scorecard!B57&amp;" | Ask: "&amp;Scorecard!C57,IF(Scorecard!G57="Partial","INCOMPLETE — "&amp;Scorecard!B57&amp;" | Asked but not fully probed/confirmed.",""))</f>
        <v>MISSED — Audio quality, completeness and duration (10–20 minutes) | Ask: Both voices audible end-to-end; call not cut abruptly; duration ≥ 10 min (MANDATORY) and ideally ≤ 20 (target 15).</v>
      </c>
      <c r="C55" s="39">
        <f>IF(Scorecard!G57="None",Scorecard!F57,IF(Scorecard!G57="Partial",Scorecard!F57/2,""))</f>
        <v>2</v>
      </c>
    </row>
    <row r="56" spans="1:3" x14ac:dyDescent="0.3">
      <c r="A56" s="33" t="str">
        <f>Scorecard!A58</f>
        <v>J2</v>
      </c>
      <c r="B56" s="8" t="str">
        <f>IF(Scorecard!G58="None","MISSED — "&amp;Scorecard!B58&amp;" | Ask: "&amp;Scorecard!C58,IF(Scorecard!G58="Partial","INCOMPLETE — "&amp;Scorecard!B58&amp;" | Asked but not fully probed/confirmed.",""))</f>
        <v/>
      </c>
      <c r="C56" s="39" t="str">
        <f>IF(Scorecard!G58="None",Scorecard!F58,IF(Scorecard!G58="Partial",Scorecard!F58/2,""))</f>
        <v/>
      </c>
    </row>
    <row r="57" spans="1:3" x14ac:dyDescent="0.3">
      <c r="A57" s="33" t="str">
        <f>Scorecard!A59</f>
        <v>J3</v>
      </c>
      <c r="B57" s="8" t="str">
        <f>IF(Scorecard!G59="None","MISSED — "&amp;Scorecard!B59&amp;" | Ask: "&amp;Scorecard!C59,IF(Scorecard!G59="Partial","INCOMPLETE — "&amp;Scorecard!B59&amp;" | Asked but not fully probed/confirmed.",""))</f>
        <v>INCOMPLETE — Courteous, structured and complete flow | Asked but not fully probed/confirmed.</v>
      </c>
      <c r="C57" s="39">
        <f>IF(Scorecard!G59="None",Scorecard!F59,IF(Scorecard!G59="Partial",Scorecard!F59/2,""))</f>
        <v>1</v>
      </c>
    </row>
    <row r="58" spans="1:3" x14ac:dyDescent="0.3">
      <c r="A58" s="41"/>
      <c r="B58" s="42" t="s">
        <v>424</v>
      </c>
      <c r="C58" s="43">
        <f>SUM(C19:C57)</f>
        <v>46.5</v>
      </c>
    </row>
    <row r="60" spans="1:3" ht="41.25" customHeight="1" x14ac:dyDescent="0.3">
      <c r="A60" s="90" t="s">
        <v>425</v>
      </c>
      <c r="B60" s="89"/>
      <c r="C60" s="89"/>
    </row>
  </sheetData>
  <mergeCells count="3">
    <mergeCell ref="A1:C1"/>
    <mergeCell ref="A60:C60"/>
    <mergeCell ref="A2:C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showGridLines="0" topLeftCell="A15" zoomScaleNormal="100" workbookViewId="0">
      <selection activeCell="B16" sqref="B16"/>
    </sheetView>
  </sheetViews>
  <sheetFormatPr defaultColWidth="8.6640625" defaultRowHeight="14.4" x14ac:dyDescent="0.3"/>
  <cols>
    <col min="1" max="1" width="24.33203125" style="3" customWidth="1"/>
    <col min="2" max="2" width="78" style="3" customWidth="1"/>
    <col min="3" max="3" width="46" style="3" customWidth="1"/>
    <col min="4" max="4" width="8.6640625" style="3" customWidth="1"/>
    <col min="5" max="16384" width="8.6640625" style="3"/>
  </cols>
  <sheetData>
    <row r="1" spans="1:3" x14ac:dyDescent="0.3">
      <c r="A1" s="92" t="s">
        <v>426</v>
      </c>
      <c r="B1" s="93"/>
      <c r="C1" s="93"/>
    </row>
    <row r="3" spans="1:3" x14ac:dyDescent="0.3">
      <c r="A3" s="44" t="s">
        <v>427</v>
      </c>
      <c r="B3" s="44" t="s">
        <v>428</v>
      </c>
      <c r="C3" s="44" t="s">
        <v>429</v>
      </c>
    </row>
    <row r="4" spans="1:3" ht="28.5" customHeight="1" x14ac:dyDescent="0.3">
      <c r="A4" s="7" t="s">
        <v>430</v>
      </c>
      <c r="B4" s="8" t="s">
        <v>431</v>
      </c>
      <c r="C4" s="8" t="s">
        <v>432</v>
      </c>
    </row>
    <row r="5" spans="1:3" x14ac:dyDescent="0.3">
      <c r="A5" s="7" t="s">
        <v>433</v>
      </c>
      <c r="B5" s="8" t="s">
        <v>434</v>
      </c>
      <c r="C5" s="8" t="s">
        <v>435</v>
      </c>
    </row>
    <row r="6" spans="1:3" x14ac:dyDescent="0.3">
      <c r="A6" s="7" t="s">
        <v>436</v>
      </c>
      <c r="B6" s="8" t="s">
        <v>437</v>
      </c>
      <c r="C6" s="8" t="s">
        <v>438</v>
      </c>
    </row>
    <row r="7" spans="1:3" x14ac:dyDescent="0.3">
      <c r="A7" s="7" t="s">
        <v>439</v>
      </c>
      <c r="B7" s="8" t="s">
        <v>440</v>
      </c>
      <c r="C7" s="8" t="s">
        <v>441</v>
      </c>
    </row>
    <row r="8" spans="1:3" ht="28.5" customHeight="1" x14ac:dyDescent="0.3">
      <c r="A8" s="7" t="s">
        <v>442</v>
      </c>
      <c r="B8" s="8" t="s">
        <v>443</v>
      </c>
      <c r="C8" s="8" t="s">
        <v>444</v>
      </c>
    </row>
    <row r="9" spans="1:3" x14ac:dyDescent="0.3">
      <c r="A9" s="7" t="s">
        <v>445</v>
      </c>
      <c r="B9" s="8" t="s">
        <v>446</v>
      </c>
      <c r="C9" s="8" t="s">
        <v>447</v>
      </c>
    </row>
    <row r="10" spans="1:3" x14ac:dyDescent="0.3">
      <c r="A10" s="7" t="s">
        <v>448</v>
      </c>
      <c r="B10" s="8" t="s">
        <v>449</v>
      </c>
      <c r="C10" s="8" t="s">
        <v>450</v>
      </c>
    </row>
    <row r="11" spans="1:3" ht="28.5" customHeight="1" x14ac:dyDescent="0.3">
      <c r="A11" s="7" t="s">
        <v>451</v>
      </c>
      <c r="B11" s="8" t="s">
        <v>452</v>
      </c>
      <c r="C11" s="8" t="s">
        <v>453</v>
      </c>
    </row>
    <row r="12" spans="1:3" x14ac:dyDescent="0.3">
      <c r="A12" s="7" t="s">
        <v>454</v>
      </c>
      <c r="B12" s="8" t="s">
        <v>455</v>
      </c>
      <c r="C12" s="8" t="s">
        <v>456</v>
      </c>
    </row>
    <row r="13" spans="1:3" x14ac:dyDescent="0.3">
      <c r="A13" s="7" t="s">
        <v>457</v>
      </c>
      <c r="B13" s="8" t="s">
        <v>458</v>
      </c>
      <c r="C13" s="8" t="s">
        <v>459</v>
      </c>
    </row>
    <row r="14" spans="1:3" ht="28.5" customHeight="1" x14ac:dyDescent="0.3">
      <c r="A14" s="7" t="s">
        <v>460</v>
      </c>
      <c r="B14" s="8" t="s">
        <v>461</v>
      </c>
      <c r="C14" s="8" t="s">
        <v>462</v>
      </c>
    </row>
    <row r="15" spans="1:3" ht="28.5" customHeight="1" x14ac:dyDescent="0.3">
      <c r="A15" s="7" t="s">
        <v>463</v>
      </c>
      <c r="B15" s="8" t="s">
        <v>464</v>
      </c>
      <c r="C15" s="8" t="s">
        <v>465</v>
      </c>
    </row>
    <row r="16" spans="1:3" x14ac:dyDescent="0.3">
      <c r="A16" s="5" t="s">
        <v>466</v>
      </c>
      <c r="B16" s="4"/>
      <c r="C16" s="4"/>
    </row>
    <row r="18" spans="1:3" x14ac:dyDescent="0.3">
      <c r="A18" s="45" t="s">
        <v>467</v>
      </c>
      <c r="B18" s="45" t="s">
        <v>468</v>
      </c>
      <c r="C18" s="45" t="s">
        <v>469</v>
      </c>
    </row>
    <row r="19" spans="1:3" x14ac:dyDescent="0.3">
      <c r="A19" s="7" t="s">
        <v>470</v>
      </c>
      <c r="B19" s="46" t="s">
        <v>471</v>
      </c>
      <c r="C19" s="8" t="s">
        <v>472</v>
      </c>
    </row>
    <row r="20" spans="1:3" x14ac:dyDescent="0.3">
      <c r="A20" s="7" t="s">
        <v>473</v>
      </c>
      <c r="B20" s="46" t="s">
        <v>474</v>
      </c>
      <c r="C20" s="8" t="s">
        <v>475</v>
      </c>
    </row>
    <row r="21" spans="1:3" ht="42.75" customHeight="1" x14ac:dyDescent="0.3">
      <c r="A21" s="7" t="s">
        <v>476</v>
      </c>
      <c r="B21" s="46" t="s">
        <v>477</v>
      </c>
      <c r="C21" s="8" t="s">
        <v>478</v>
      </c>
    </row>
    <row r="22" spans="1:3" ht="28.5" customHeight="1" x14ac:dyDescent="0.3">
      <c r="A22" s="7" t="s">
        <v>479</v>
      </c>
      <c r="B22" s="46" t="s">
        <v>480</v>
      </c>
      <c r="C22" s="8" t="s">
        <v>481</v>
      </c>
    </row>
    <row r="23" spans="1:3" ht="42.75" customHeight="1" x14ac:dyDescent="0.3">
      <c r="A23" s="7" t="s">
        <v>482</v>
      </c>
      <c r="B23" s="46" t="s">
        <v>483</v>
      </c>
      <c r="C23" s="8" t="s">
        <v>484</v>
      </c>
    </row>
    <row r="25" spans="1:3" x14ac:dyDescent="0.3">
      <c r="A25" s="94" t="s">
        <v>485</v>
      </c>
      <c r="B25" s="63"/>
      <c r="C25" s="61"/>
    </row>
  </sheetData>
  <mergeCells count="2">
    <mergeCell ref="A1:C1"/>
    <mergeCell ref="A25:C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Scorecard</vt:lpstr>
      <vt:lpstr>Call Summary</vt:lpstr>
      <vt:lpstr>Gap &amp; Coaching Report</vt:lpstr>
      <vt:lpstr>Reference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Goel</cp:lastModifiedBy>
  <cp:revision>0</cp:revision>
  <dcterms:created xsi:type="dcterms:W3CDTF">2026-07-28T08:07:03Z</dcterms:created>
  <dcterms:modified xsi:type="dcterms:W3CDTF">2026-08-20T03:37:21Z</dcterms:modified>
  <dc:language>en-US</dc:language>
</cp:coreProperties>
</file>