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Scorecard" sheetId="2" state="visible" r:id="rId4"/>
    <sheet name="Call Summary" sheetId="3" state="visible" r:id="rId5"/>
    <sheet name="Gap &amp; Coaching Report" sheetId="4" state="visible" r:id="rId6"/>
    <sheet name="Reference 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<sst xmlns="http://schemas.openxmlformats.org/spreadsheetml/2006/main" count="366" uniqueCount="325">
  <si>
    <t xml:space="preserve">PRODIGEE FINANCE LIMITED — BCM PHYSICAL PD SELF-AUDIO · SUCCESS CRITERIA SCORECARD V1.0</t>
  </si>
  <si>
    <t xml:space="preserve">Aligned to LAP Credit Policy V2.3 (Part E.1) · Companion to BCM_PD_Audio_Success_Criteria_Framework_V1.docx · A 15–30 minute self-recorded narration made the SAME DAY, after ALL PD visits.</t>
  </si>
  <si>
    <t xml:space="preserve">HOW TO USE</t>
  </si>
  <si>
    <t xml:space="preserve">1. Open the 'Scorecard' sheet. Fill ONLY the yellow cells: header details, Coverage (Full / Partial / None / N/A) and gate Results (PASS/FAIL).</t>
  </si>
  <si>
    <t xml:space="preserve">2. Coverage: Full = narrated completely with specifics (names, figures, observations) · Partial = mentioned but vague/incomplete · None = not narrated · N/A = not applicable (e.g. Section C when no agricultural income is considered).</t>
  </si>
  <si>
    <t xml:space="preserve">3. Score, subtotals, band and verdict calculate automatically. Minimum pass: Score ≥ 75 AND all 8 gates PASS AND no open red flag — required before PD Report/CAM/BRE submission.</t>
  </si>
  <si>
    <t xml:space="preserve">4. The 'Gap &amp; Coaching Report' sheet fills itself — every item not narrated, with exactly what to speak next time. Clear list = 100. Target 90+.</t>
  </si>
  <si>
    <t xml:space="preserve">5. The BCM's recommendation is separate from the score — a well-reasoned negative recommendation scores Full on G3.</t>
  </si>
  <si>
    <t xml:space="preserve">6. NEW — 'Call Summary' sheet: a one-page management digest of the recording. The evaluator fills the yellow cells — every income source stated on the call, every obligation stated, family details, surplus arithmetic and other key facts — so management reads the summary instead of hearing the audio. Header, totals and verdict pull automatically from the Scorecard.</t>
  </si>
  <si>
    <t xml:space="preserve">BCM PHYSICAL PD SELF-AUDIO — SUCCESS CRITERIA SCORECARD (V1.0) · Business Loan Against Property</t>
  </si>
  <si>
    <t xml:space="preserve">Application ID</t>
  </si>
  <si>
    <t xml:space="preserve">Evaluator (AI Agent / Reviewer)</t>
  </si>
  <si>
    <t xml:space="preserve">Customer Name</t>
  </si>
  <si>
    <t xml:space="preserve">BCM Name</t>
  </si>
  <si>
    <t xml:space="preserve">Date of PD Visits / Recording</t>
  </si>
  <si>
    <t xml:space="preserve">Recording Duration (min)</t>
  </si>
  <si>
    <t xml:space="preserve">Loan Amount (Rs.)</t>
  </si>
  <si>
    <t xml:space="preserve">ID</t>
  </si>
  <si>
    <t xml:space="preserve">Success Criterion</t>
  </si>
  <si>
    <t xml:space="preserve">What the narration must state (checklist)</t>
  </si>
  <si>
    <t xml:space="preserve">Reference</t>
  </si>
  <si>
    <t xml:space="preserve">Critical</t>
  </si>
  <si>
    <t xml:space="preserve">Max Pts</t>
  </si>
  <si>
    <t xml:space="preserve">Coverage</t>
  </si>
  <si>
    <t xml:space="preserve">Pts Scored</t>
  </si>
  <si>
    <t xml:space="preserve">Remarks / evidence (timestamp)</t>
  </si>
  <si>
    <t xml:space="preserve">SECTION A — RECORDING SETUP &amp; VISIT IDENTIFICATION   (minute 0–2)</t>
  </si>
  <si>
    <t xml:space="preserve">A1</t>
  </si>
  <si>
    <t xml:space="preserve">Case identified on record</t>
  </si>
  <si>
    <t xml:space="preserve">Application ID, customer name, village/town, product, loan amount applied — stated at the start. Confirm pre-visit preparation: CRIF/CIBIL bureau report, CPA remarks and BPS score reviewed on PRAGATI before the visit.</t>
  </si>
  <si>
    <t xml:space="preserve">PRAGATI case record</t>
  </si>
  <si>
    <t xml:space="preserve">—</t>
  </si>
  <si>
    <t xml:space="preserve">A2</t>
  </si>
  <si>
    <t xml:space="preserve">All visits confirmed — when and whom</t>
  </si>
  <si>
    <t xml:space="preserve">Date/time of each visit (business(es), residence, collateral — or same site), who was met at each, who accompanied. Borrower met personally at business.</t>
  </si>
  <si>
    <t xml:space="preserve">Policy E.1; Gates K2/K3/K4</t>
  </si>
  <si>
    <t xml:space="preserve">YES</t>
  </si>
  <si>
    <t xml:space="preserve">A3</t>
  </si>
  <si>
    <t xml:space="preserve">Photo/document capture confirmed</t>
  </si>
  <si>
    <t xml:space="preserve">Geo-tagged photos — business premises, QR codes, hoarding/signboard, stock, bills — business-neighbour signboards, residence-neighbour contacts, dairy selfie, agri photos/GPS video (if agri &gt;Rs.10k/mo) — confirmed taken &amp; uploaded.</t>
  </si>
  <si>
    <t xml:space="preserve">Policy E.1; Gate K8</t>
  </si>
  <si>
    <t xml:space="preserve">A4</t>
  </si>
  <si>
    <t xml:space="preserve">Same-day recording, correct duration</t>
  </si>
  <si>
    <t xml:space="preserve">Recorded same day after all visits; 15–30 minutes total.</t>
  </si>
  <si>
    <t xml:space="preserve">Gate K1</t>
  </si>
  <si>
    <t xml:space="preserve">SECTION B — BUSINESS VERIFICATION — EVERY INCOME STREAM   (minute 2–9)</t>
  </si>
  <si>
    <t xml:space="preserve">B1</t>
  </si>
  <si>
    <t xml:space="preserve">Every business visited and described as seen</t>
  </si>
  <si>
    <t xml:space="preserve">For EACH declared income business — including any business or income source run by the father, mother, wife, son or any other family member: premises, stock, staff, foot traffic during visit, equipment, signboard — concrete observations; each assessed with documentary evidence and photographed. Stream not visited = Gate K3 FAIL.</t>
  </si>
  <si>
    <t xml:space="preserve">Policy E.1; PD Report §2</t>
  </si>
  <si>
    <t xml:space="preserve">B2</t>
  </si>
  <si>
    <t xml:space="preserve">Borrower met at business; operations explained on site</t>
  </si>
  <si>
    <t xml:space="preserve">Borrower personally showed the business; day-to-day account summarised.</t>
  </si>
  <si>
    <t xml:space="preserve">Gate K2</t>
  </si>
  <si>
    <t xml:space="preserve">B3</t>
  </si>
  <si>
    <t xml:space="preserve">Income assessed per stream with arithmetic</t>
  </si>
  <si>
    <t xml:space="preserve">Daily/monthly sales, ANNUAL turnover, margin/profit %, seasonality, assessed monthly income per stream — profitability calculated from verified income and expenses; PRAGATI-model arithmetic aloud; totals stated.</t>
  </si>
  <si>
    <t xml:space="preserve">PRAGATI model; Policy C.3</t>
  </si>
  <si>
    <t xml:space="preserve">B4</t>
  </si>
  <si>
    <t xml:space="preserve">Income documents asked and examined</t>
  </si>
  <si>
    <t xml:space="preserve">Receipts, sales/purchase bills, kata parchi, UPI/banking, dairy passbook — asked, produced, photographed; absence stated honestly. PLUS AA completeness: confirm the Account Aggregator pull covers ALL main transacting business accounts; if any is missing, INITIATE the AA on the spot with the borrower's OTP.</t>
  </si>
  <si>
    <t xml:space="preserve">Policy C.3/C.4</t>
  </si>
  <si>
    <t xml:space="preserve">B5</t>
  </si>
  <si>
    <t xml:space="preserve">Business-neighbour enquiry narrated</t>
  </si>
  <si>
    <t xml:space="preserve">2+ neighbouring businesses spoken to — names/contacts, signboards photographed; substance of what they said.</t>
  </si>
  <si>
    <t xml:space="preserve">Policy E.1; Gate K5</t>
  </si>
  <si>
    <t xml:space="preserve">B6</t>
  </si>
  <si>
    <t xml:space="preserve">Genuineness view — no staged setup</t>
  </si>
  <si>
    <t xml:space="preserve">Explicit view per stream that the setup is genuine (own stock, truly operating) — or suspicion stated and escalated (PD-RF-1).</t>
  </si>
  <si>
    <t xml:space="preserve">Gate K6; PD-RF-1</t>
  </si>
  <si>
    <t xml:space="preserve">SECTION C — AGRICULTURAL INCOME VERIFICATION   (minute 9–12 · N/A if no agri income considered)</t>
  </si>
  <si>
    <t xml:space="preserve">C1</t>
  </si>
  <si>
    <t xml:space="preserve">Land visited; ownership and acreage verified</t>
  </si>
  <si>
    <t xml:space="preserve">Land seen (or GPS video if distant &amp; agri income &gt;Rs.10k/mo); owner named, checked on Bhulekh/SatSure; acreage stated. Leased-in land ≠ agri income.</t>
  </si>
  <si>
    <t xml:space="preserve">Policy C.7; E.1</t>
  </si>
  <si>
    <t xml:space="preserve">C2</t>
  </si>
  <si>
    <t xml:space="preserve">Crops and yield verified with proof</t>
  </si>
  <si>
    <t xml:space="preserve">Crops per season, what is standing/sown; mandi receipts (last 4 seasons avg) or sale proof examined; assessed agri income per model.</t>
  </si>
  <si>
    <t xml:space="preserve">Policy C.7</t>
  </si>
  <si>
    <t xml:space="preserve">C3</t>
  </si>
  <si>
    <t xml:space="preserve">Cultivation genuineness + KCC noted</t>
  </si>
  <si>
    <t xml:space="preserve">Actually cultivating? KCC limit/obligation noted. False/overstated agri claim = PD-RF-5.</t>
  </si>
  <si>
    <t xml:space="preserve">Policy C.5/C.7; PD-RF-5</t>
  </si>
  <si>
    <t xml:space="preserve">SECTION D — OBLIGATIONS &amp; FAMILY EXPENSES   (minute 12–15)</t>
  </si>
  <si>
    <t xml:space="preserve">D1</t>
  </si>
  <si>
    <t xml:space="preserve">All obligations enumerated with amounts</t>
  </si>
  <si>
    <t xml:space="preserve">Existing EMIs of borrower AND co-borrowers — every loan running in the CRIF/CIBIL report — MFI/SHG/JLG, KCC/society/PACS, gold, third-party and market/hand loans — lender + monthly amount each; justification taken on record for any default/overdue in CRIF/CIBIL. Undisclosed found = PD-RF-4.</t>
  </si>
  <si>
    <t xml:space="preserve">Policy C.5; PD-RF-4</t>
  </si>
  <si>
    <t xml:space="preserve">D2</t>
  </si>
  <si>
    <t xml:space="preserve">Family expenses and lifestyle assessed</t>
  </si>
  <si>
    <t xml:space="preserve">Family size, dependents, Rs.2,000–3,000/member norm, living standard (ELSI assets) consistent with claimed income.</t>
  </si>
  <si>
    <t xml:space="preserve">Policy C.2; PRAGATI model</t>
  </si>
  <si>
    <t xml:space="preserve">D3</t>
  </si>
  <si>
    <t xml:space="preserve">Surplus arithmetic narrated</t>
  </si>
  <si>
    <t xml:space="preserve">Assessed income − expenses − existing EMIs = surplus vs proposed EMI; disposable floor (Rs.10,000/12,500/15,000 by FOIR slab) checked aloud.</t>
  </si>
  <si>
    <t xml:space="preserve">Policy C.2</t>
  </si>
  <si>
    <t xml:space="preserve">D4</t>
  </si>
  <si>
    <t xml:space="preserve">Recent loan enquiries (last 3 months) probed with outcomes</t>
  </si>
  <si>
    <t xml:space="preserve">Loan applications/enquiries of borrower &amp; co-borrowers in the LAST 3 MONTHS asked and narrated: lender, amount, purpose — and the OUTCOME of each stated on record (approved/sanctioned &amp; disbursed?, rejected — reason, or pending/withdrawn); cross-checked with bureau enquiry list. No enquiry = say so explicitly.</t>
  </si>
  <si>
    <t xml:space="preserve">Policy C.5; bureau enquiry report</t>
  </si>
  <si>
    <t xml:space="preserve">SECTION E — RESIDENCE VISIT, FAMILY &amp; CO-BORROWER   (minute 15–20)</t>
  </si>
  <si>
    <t xml:space="preserve">E1</t>
  </si>
  <si>
    <t xml:space="preserve">Residence visited and described</t>
  </si>
  <si>
    <t xml:space="preserve">Ownership, years at address, construction/condition, household assets seen; utility bills/Patta cross-checked. Residence photos + ELSI asset captures — TV, fridge, washing machine, two-wheeler, four-wheeler, gas connection, electricity meter — taken and uploaded.</t>
  </si>
  <si>
    <t xml:space="preserve">Policy E.1; ELSI</t>
  </si>
  <si>
    <t xml:space="preserve">E2</t>
  </si>
  <si>
    <t xml:space="preserve">Family and co-borrower interviewed</t>
  </si>
  <si>
    <t xml:space="preserve">Each person spoken to named + substance: loan awareness, amount, end use, requirement view, household obligations, repayment intent; what each family member does. Co-borrower (wife/mother) MANDATORILY met in person and aware the collateral will be mortgaged to Prodigee. Samagra ID and KYC of borrower and ALL co-borrowers physically checked. Unaware/opposed = PD-RF-7.</t>
  </si>
  <si>
    <t xml:space="preserve">Policy E.1; Gate K4; PD-RF-7</t>
  </si>
  <si>
    <t xml:space="preserve">E3</t>
  </si>
  <si>
    <t xml:space="preserve">Residence-neighbour enquiry narrated</t>
  </si>
  <si>
    <t xml:space="preserve">2+ residence neighbours — names/contacts; reputation, conduct, any adverse information.</t>
  </si>
  <si>
    <t xml:space="preserve">E4</t>
  </si>
  <si>
    <t xml:space="preserve">Customer education confirmed</t>
  </si>
  <si>
    <t xml:space="preserve">Confirmed told: Business LAP with mortgage, indicative EMI, Clean Track Reward (last 3 EMIs waived), ZERO COMMISSION policy — Prodigee takes no commission and the borrower must NOT pay or entertain anyone who asks for one — Prodigee = trust &amp; integrity.</t>
  </si>
  <si>
    <t xml:space="preserve">KFS norms; Zero Commission Policy</t>
  </si>
  <si>
    <t xml:space="preserve">SECTION F — COLLATERAL VERIFICATION   (minute 20–25)</t>
  </si>
  <si>
    <t xml:space="preserve">F1</t>
  </si>
  <si>
    <t xml:space="preserve">Collateral visited and physically described</t>
  </si>
  <si>
    <t xml:space="preserve">Type, self-occupied/rented, construction quality, approx age (20-yr rule/structural note), carpet area vs 400/100 sq.ft, independent access, kitchen/toilet.</t>
  </si>
  <si>
    <t xml:space="preserve">Policy F.3</t>
  </si>
  <si>
    <t xml:space="preserve">F2</t>
  </si>
  <si>
    <t xml:space="preserve">Original papers seen; owner and title chain</t>
  </si>
  <si>
    <t xml:space="preserve">Original title deeds sighted (or exact status), owner named, acquisition story, mutation, heirs/NOC; document type (Sale Deed/Patta; 1/2-pager not allowed; 5-pager Rs.10L cap).</t>
  </si>
  <si>
    <t xml:space="preserve">Policy F.3/J.2; Gate K7</t>
  </si>
  <si>
    <t xml:space="preserve">F3</t>
  </si>
  <si>
    <t xml:space="preserve">Approximate market value with basis</t>
  </si>
  <si>
    <t xml:space="preserve">Value estimate with basis (local rates, transactions, neighbour input); LTV sense; distress-value view (80% cap).</t>
  </si>
  <si>
    <t xml:space="preserve">F4</t>
  </si>
  <si>
    <t xml:space="preserve">Risk screen stated</t>
  </si>
  <si>
    <t xml:space="preserve">Lien-free/no-dispute, not ST/tribal land, not near HT line/riverbank/encroachment, no negative zone, no demolition risk. Issue = PD-RF-6.</t>
  </si>
  <si>
    <t xml:space="preserve">Policy F.3/J.2; PD-RF-6</t>
  </si>
  <si>
    <t xml:space="preserve">SECTION G — END USE &amp; OVERALL ASSESSMENT   (minute 25–28)</t>
  </si>
  <si>
    <t xml:space="preserve">G1</t>
  </si>
  <si>
    <t xml:space="preserve">End use verified on ground</t>
  </si>
  <si>
    <t xml:space="preserve">Stated purpose vs ground reality; required loan amount enquired and the utilisation questioned thoroughly — how much, where, when; not a restricted use (speculation, new unrelated business, milch animals, illegal).</t>
  </si>
  <si>
    <t xml:space="preserve">Policy B.3</t>
  </si>
  <si>
    <t xml:space="preserve">G2</t>
  </si>
  <si>
    <t xml:space="preserve">Overall credit view</t>
  </si>
  <si>
    <t xml:space="preserve">Total assessed income vs loan sought; capacity AND intent view; every red flag found — or explicit statement that none was found.</t>
  </si>
  <si>
    <t xml:space="preserve">CAM/BRE inputs</t>
  </si>
  <si>
    <t xml:space="preserve">G3</t>
  </si>
  <si>
    <t xml:space="preserve">Clear recommendation with reasons</t>
  </si>
  <si>
    <t xml:space="preserve">Recommend / recommend-with-conditions / reject — with specific reasons for the PD Report and CAM. A reasoned negative recommendation scores Full. Borrower told: decision will be taken soon; if any further documents are needed, the BCM will call.</t>
  </si>
  <si>
    <t xml:space="preserve">PD Report; CAM</t>
  </si>
  <si>
    <t xml:space="preserve">SECTION H — NARRATION QUALITY   (throughout)</t>
  </si>
  <si>
    <t xml:space="preserve">H1</t>
  </si>
  <si>
    <t xml:space="preserve">Structured and specific</t>
  </si>
  <si>
    <t xml:space="preserve">Section order followed; names, numbers, observations — no vague filler.</t>
  </si>
  <si>
    <t xml:space="preserve">This framework</t>
  </si>
  <si>
    <t xml:space="preserve">H2</t>
  </si>
  <si>
    <t xml:space="preserve">Duration and audibility</t>
  </si>
  <si>
    <t xml:space="preserve">15–30 minutes, single continuous recording, ≥90% intelligible.</t>
  </si>
  <si>
    <t xml:space="preserve">H3</t>
  </si>
  <si>
    <t xml:space="preserve">Honest flagging of gaps</t>
  </si>
  <si>
    <t xml:space="preserve">Facts vs opinion separated; what could not be verified stated as such; discrepancies flagged.</t>
  </si>
  <si>
    <t xml:space="preserve">Gate K6 spirit</t>
  </si>
  <si>
    <t xml:space="preserve">SECTION SUBTOTALS</t>
  </si>
  <si>
    <t xml:space="preserve">Section</t>
  </si>
  <si>
    <t xml:space="preserve">Applicable Pts</t>
  </si>
  <si>
    <t xml:space="preserve">Scored</t>
  </si>
  <si>
    <t xml:space="preserve">Coverage %</t>
  </si>
  <si>
    <t xml:space="preserve">A — Recording Setup &amp; Visit Identification</t>
  </si>
  <si>
    <t xml:space="preserve">B — Business Verification (every income stream)</t>
  </si>
  <si>
    <t xml:space="preserve">C — Agricultural Income Verification</t>
  </si>
  <si>
    <t xml:space="preserve">D — Obligations &amp; Family Expenses</t>
  </si>
  <si>
    <t xml:space="preserve">E — Residence, Family &amp; Co-Borrower</t>
  </si>
  <si>
    <t xml:space="preserve">F — Collateral Verification</t>
  </si>
  <si>
    <t xml:space="preserve">G — End Use &amp; Overall Assessment</t>
  </si>
  <si>
    <t xml:space="preserve">H — Narration Quality</t>
  </si>
  <si>
    <t xml:space="preserve">KNOCK-OUT GATES (any FAIL ⇒ NARRATION INVALID)</t>
  </si>
  <si>
    <t xml:space="preserve">Gate</t>
  </si>
  <si>
    <t xml:space="preserve">Requirement</t>
  </si>
  <si>
    <t xml:space="preserve">Result (PASS/FAIL)</t>
  </si>
  <si>
    <t xml:space="preserve">K1</t>
  </si>
  <si>
    <t xml:space="preserve">Valid recording — ≥ 15 minutes (MANDATORY), not beyond 30; audible; recorded the SAME DAY as the visits, after all sites were covered.</t>
  </si>
  <si>
    <t xml:space="preserve">K2</t>
  </si>
  <si>
    <t xml:space="preserve">The BCM personally met the MAIN BORROWER at the business premises — not by phone, not through a relative or third party.</t>
  </si>
  <si>
    <t xml:space="preserve">K3</t>
  </si>
  <si>
    <t xml:space="preserve">EVERY declared income-generating business/site physically visited (all streams; dairy shed and agri land included where considered).</t>
  </si>
  <si>
    <t xml:space="preserve">K4</t>
  </si>
  <si>
    <t xml:space="preserve">Residence AND collateral visited (or confirmed same site); family members and the co-borrower spoken to.</t>
  </si>
  <si>
    <t xml:space="preserve">K5</t>
  </si>
  <si>
    <t xml:space="preserve">Neighbour verification done — at least 2 business neighbours and 2 residence neighbours enquired, names/contacts collected.</t>
  </si>
  <si>
    <t xml:space="preserve">K6</t>
  </si>
  <si>
    <t xml:space="preserve">No staged/fake setup left unreported — any suspicion stated and escalated, not smoothed over.</t>
  </si>
  <si>
    <t xml:space="preserve">K7</t>
  </si>
  <si>
    <t xml:space="preserve">Collateral papers physically seen — original title documents sighted (or exact status stated), actual owner identified.</t>
  </si>
  <si>
    <t xml:space="preserve">K8</t>
  </si>
  <si>
    <t xml:space="preserve">Narration consistent with geo-tagged photographs and documents uploaded on PRAGATI — no material contradiction.</t>
  </si>
  <si>
    <t xml:space="preserve">TOTAL SCORE (normalised to 100)</t>
  </si>
  <si>
    <t xml:space="preserve">KNOCK-OUT STATUS</t>
  </si>
  <si>
    <t xml:space="preserve">GRADE BAND</t>
  </si>
  <si>
    <t xml:space="preserve">FINAL VERDICT</t>
  </si>
  <si>
    <t xml:space="preserve">BCM PD SELF-AUDIO — CALL SUMMARY FOR MANAGEMENT · Business Loan Against Property</t>
  </si>
  <si>
    <t xml:space="preserve">One-page digest of the full recording, filled by the Evaluator (AI Agent / Reviewer) so management need not hear the audio. Fill ONLY the yellow cells; header, totals, surplus arithmetic, score and verdict fill/calculate automatically. Every figure must be one actually SPOKEN on the recording — quote the timestamp. Not stated on call = write "Not stated".</t>
  </si>
  <si>
    <t xml:space="preserve">Score (/100)</t>
  </si>
  <si>
    <t xml:space="preserve">Grade Band</t>
  </si>
  <si>
    <t xml:space="preserve">Knock-Out Status</t>
  </si>
  <si>
    <t xml:space="preserve">Final Verdict</t>
  </si>
  <si>
    <t xml:space="preserve">Auto-filled from the Scorecard sheet — do not type here. Grey cells show the evaluation outcome for this same recording.</t>
  </si>
  <si>
    <t xml:space="preserve">CALL IN BRIEF — EXECUTIVE GIST (4–6 lines)</t>
  </si>
  <si>
    <t xml:space="preserve">Who the borrower is and where · what he/she does · loan amount sought and purpose · what the BCM saw and concluded on income, obligations, family, collateral · the BCM's recommendation · anything management must know.</t>
  </si>
  <si>
    <t xml:space="preserve">HEAD 1 — TOTAL INCOME SOURCES (every income stated on the call)</t>
  </si>
  <si>
    <t xml:space="preserve">One row per income stream spoken on the recording — every business, agri, dairy, rent, salary, or family-member income. Was it actually STATED with a figure on the call? Quote the timestamp.</t>
  </si>
  <si>
    <t xml:space="preserve">#</t>
  </si>
  <si>
    <t xml:space="preserve">Income source / business name</t>
  </si>
  <si>
    <t xml:space="preserve">Run by (name &amp; relation — borrower / family member)</t>
  </si>
  <si>
    <t xml:space="preserve">Stated on call? (Yes / Partly / No + timestamp)</t>
  </si>
  <si>
    <t xml:space="preserve">Monthly income STATED (Rs.)</t>
  </si>
  <si>
    <t xml:space="preserve">Assessed monthly income (Rs.)</t>
  </si>
  <si>
    <t xml:space="preserve">Evidence cited on call (bills / UPI / passbook / mandi receipts)</t>
  </si>
  <si>
    <t xml:space="preserve">Remarks (seasonality, arithmetic narrated, doubts)</t>
  </si>
  <si>
    <t xml:space="preserve">TOTAL INCOME AS PER CALL (Rs./month)</t>
  </si>
  <si>
    <t xml:space="preserve">Stated ↑ = spoken figure · Assessed ↑ = BCM/PRAGATI-model figure</t>
  </si>
  <si>
    <t xml:space="preserve">Income in the application NOT spoken on the call</t>
  </si>
  <si>
    <t xml:space="preserve">All declared income sources covered on call? (YES / NO)</t>
  </si>
  <si>
    <t xml:space="preserve">HEAD 2 — TOTAL OBLIGATIONS (every loan / EMI stated on the call)</t>
  </si>
  <si>
    <t xml:space="preserve">One row per obligation spoken on the recording — bank/NBFC EMIs, MFI/SHG/JLG, KCC/society/PACS, gold, hand/market loans — of the borrower AND co-borrowers.</t>
  </si>
  <si>
    <t xml:space="preserve">Lender / source</t>
  </si>
  <si>
    <t xml:space="preserve">Type (Bank / NBFC / MFI / SHG / KCC / Gold / Hand loan)</t>
  </si>
  <si>
    <t xml:space="preserve">In whose name</t>
  </si>
  <si>
    <t xml:space="preserve">Outstanding (Rs.)</t>
  </si>
  <si>
    <t xml:space="preserve">Monthly EMI / instalment (Rs.)</t>
  </si>
  <si>
    <t xml:space="preserve">Reflected in CRIF/CIBIL? (Yes / No)</t>
  </si>
  <si>
    <t xml:space="preserve">Timestamp + remarks (overdue? justification taken?)</t>
  </si>
  <si>
    <t xml:space="preserve">TOTAL OBLIGATIONS AS PER CALL</t>
  </si>
  <si>
    <t xml:space="preserve">Outstanding total ← E · Monthly EMI total ← F</t>
  </si>
  <si>
    <t xml:space="preserve">Undisclosed obligation found on ground? (YES → PD-RF-4 / NO)</t>
  </si>
  <si>
    <t xml:space="preserve">Loan enquiries in last 3 months &amp; OUTCOME of each (per call)</t>
  </si>
  <si>
    <t xml:space="preserve">HEAD 3 — FAMILY DETAILS (as narrated on the call)</t>
  </si>
  <si>
    <t xml:space="preserve">One row per family member discussed — who they are, what they do, whether they were met and are aware of the loan and the mortgage.</t>
  </si>
  <si>
    <t xml:space="preserve">Name</t>
  </si>
  <si>
    <t xml:space="preserve">Relation to borrower</t>
  </si>
  <si>
    <t xml:space="preserve">Age</t>
  </si>
  <si>
    <t xml:space="preserve">Occupation / contributes income? (which stream above)</t>
  </si>
  <si>
    <t xml:space="preserve">Met in person? (Yes / No)</t>
  </si>
  <si>
    <t xml:space="preserve">Aware of loan &amp; mortgage? (Yes / No)</t>
  </si>
  <si>
    <t xml:space="preserve">Remarks (repayment intent, objections, health, etc.)</t>
  </si>
  <si>
    <t xml:space="preserve">Family size (members in household)</t>
  </si>
  <si>
    <t xml:space="preserve">No. of dependents (non-earning)</t>
  </si>
  <si>
    <t xml:space="preserve">No. of earning members</t>
  </si>
  <si>
    <t xml:space="preserve">Monthly household expense stated on call (Rs.)</t>
  </si>
  <si>
    <t xml:space="preserve">Co-borrower name &amp; relation</t>
  </si>
  <si>
    <t xml:space="preserve">Co-borrower met in person AND aware collateral will be mortgaged? (YES / NO)</t>
  </si>
  <si>
    <t xml:space="preserve">REPAYMENT CAPACITY SNAPSHOT (auto from the heads above)</t>
  </si>
  <si>
    <t xml:space="preserve">Total assessed monthly income (from Head 1)</t>
  </si>
  <si>
    <t xml:space="preserve">Less: monthly household expenses (from Head 3)</t>
  </si>
  <si>
    <t xml:space="preserve">Less: existing monthly EMIs (from Head 2)</t>
  </si>
  <si>
    <t xml:space="preserve">MONTHLY SURPLUS (income − expenses − EMIs)</t>
  </si>
  <si>
    <t xml:space="preserve">Proposed EMI for this loan (Rs.) — enter</t>
  </si>
  <si>
    <t xml:space="preserve">Surplus cover (surplus ÷ proposed EMI)</t>
  </si>
  <si>
    <t xml:space="preserve">FOIR incl. proposed EMI ((EMIs + proposed) ÷ assessed income)</t>
  </si>
  <si>
    <t xml:space="preserve">Disposable-income floor met? (Rs.10,000 / 12,500 / 15,000 by FOIR slab — YES / NO)</t>
  </si>
  <si>
    <t xml:space="preserve">OTHER KEY FACTS FROM THE CALL — MANAGEMENT VIEW</t>
  </si>
  <si>
    <t xml:space="preserve">End use of loan — stated purpose &amp; ground verification</t>
  </si>
  <si>
    <t xml:space="preserve">Collateral — type, owner, papers seen (original?), approx. value &amp; basis, LTV sense</t>
  </si>
  <si>
    <t xml:space="preserve">Neighbour checks — substance of what business &amp; residence neighbours said</t>
  </si>
  <si>
    <t xml:space="preserve">Red flags raised on call (PD-RF codes + timestamps) — or "NONE stated"</t>
  </si>
  <si>
    <t xml:space="preserve">Discrepancies — call vs application / bureau / photos (or "None noted")</t>
  </si>
  <si>
    <t xml:space="preserve">BCM's recommendation on call (Recommend / with conditions / Reject) + reasons</t>
  </si>
  <si>
    <t xml:space="preserve">Evaluator's note to management — what needs attention before sanction</t>
  </si>
  <si>
    <t xml:space="preserve">MANAGEMENT ATTENTION REQUIRED?</t>
  </si>
  <si>
    <t xml:space="preserve">YES → route to RCM/CCRO with the note above · NO → file may proceed on the Scorecard verdict alone</t>
  </si>
  <si>
    <t xml:space="preserve">Rule: every figure in this summary must have been SPOKEN on the recording (with timestamp) or be explicitly marked "Not stated". The summary never replaces the Scorecard — it sits beside the score, gates and verdict shown in the header.</t>
  </si>
  <si>
    <t xml:space="preserve">GAP &amp; COACHING REPORT — what was missed in this FI (auto-generated from the Scorecard ratings)</t>
  </si>
  <si>
    <t xml:space="preserve">Fill the Coverage column on the Scorecard — every None/Partial item appears below with exactly what to narrate next time. Clear list = 100. Target: 90+ on every narration.</t>
  </si>
  <si>
    <t xml:space="preserve">SCORE</t>
  </si>
  <si>
    <t xml:space="preserve">Total score (from Scorecard)</t>
  </si>
  <si>
    <t xml:space="preserve">Points still needed to reach 90+ (A-band, model narration)</t>
  </si>
  <si>
    <t xml:space="preserve">GATES</t>
  </si>
  <si>
    <t xml:space="preserve">Knock-out gates failed (each one alone makes the narration INVALID — re-record)</t>
  </si>
  <si>
    <t xml:space="preserve">Result</t>
  </si>
  <si>
    <t xml:space="preserve">ITEM</t>
  </si>
  <si>
    <t xml:space="preserve">WHAT WAS MISSED OR LEFT INCOMPLETE — cover this next time</t>
  </si>
  <si>
    <t xml:space="preserve">Points lost</t>
  </si>
  <si>
    <t xml:space="preserve">TOTAL POINTS LOST to missed / incomplete items</t>
  </si>
  <si>
    <t xml:space="preserve">RED FLAGS — MANDATORY ESCALATION TRIGGERS (BCM PHYSICAL PD)</t>
  </si>
  <si>
    <t xml:space="preserve">Code</t>
  </si>
  <si>
    <t xml:space="preserve">Trigger detected on the call</t>
  </si>
  <si>
    <t xml:space="preserve">Required action</t>
  </si>
  <si>
    <t xml:space="preserve">PD-RF-1</t>
  </si>
  <si>
    <t xml:space="preserve">Business appears staged/fake — borrowed stock, arranged premises, or scale grossly below the claim.</t>
  </si>
  <si>
    <t xml:space="preserve">STOP — RCU referral; file held; CCRO informed</t>
  </si>
  <si>
    <t xml:space="preserve">PD-RF-2</t>
  </si>
  <si>
    <t xml:space="preserve">Borrower avoided meeting at the business / met only away from premises.</t>
  </si>
  <si>
    <t xml:space="preserve">Re-visit required; reasons recorded</t>
  </si>
  <si>
    <t xml:space="preserve">PD-RF-3</t>
  </si>
  <si>
    <t xml:space="preserve">Neighbours contradict the borrower's business or character claims.</t>
  </si>
  <si>
    <t xml:space="preserve">Record statements verbatim; escalate to RCM</t>
  </si>
  <si>
    <t xml:space="preserve">PD-RF-4</t>
  </si>
  <si>
    <t xml:space="preserve">Undisclosed obligations discovered on ground (market/hand loans, MFI, society).</t>
  </si>
  <si>
    <t xml:space="preserve">Re-run obligations in CAM; RCM/CCRO note</t>
  </si>
  <si>
    <t xml:space="preserve">PD-RF-5</t>
  </si>
  <si>
    <t xml:space="preserve">Agri income claimed but land not owned / not cultivated / no yield proof.</t>
  </si>
  <si>
    <t xml:space="preserve">Strike agri income from CAM; reassess eligibility</t>
  </si>
  <si>
    <t xml:space="preserve">PD-RF-6</t>
  </si>
  <si>
    <t xml:space="preserve">Collateral problem — papers not original/complete, disputed, third-party occupied, ST land, negative zone.</t>
  </si>
  <si>
    <t xml:space="preserve">STOP — Legal/RCU before any further processing</t>
  </si>
  <si>
    <t xml:space="preserve">PD-RF-7</t>
  </si>
  <si>
    <t xml:space="preserve">Family or co-borrower unaware of / opposed to the loan; intent-default indicators.</t>
  </si>
  <si>
    <t xml:space="preserve">Hold — RCM to re-probe in Audio PD; CCRO if unresolved</t>
  </si>
  <si>
    <t xml:space="preserve">PD-RF-8</t>
  </si>
  <si>
    <t xml:space="preserve">Commission demand or hidden middleman revealed during the visits.</t>
  </si>
  <si>
    <t xml:space="preserve">STOP — CCRO + conduct referral (Zero Commission Policy)</t>
  </si>
  <si>
    <t xml:space="preserve">SCORE BANDS &amp; ACTIONS</t>
  </si>
  <si>
    <t xml:space="preserve">Score</t>
  </si>
  <si>
    <t xml:space="preserve">Band</t>
  </si>
  <si>
    <t xml:space="preserve">Action</t>
  </si>
  <si>
    <t xml:space="preserve">90–100</t>
  </si>
  <si>
    <t xml:space="preserve">A — Excellent</t>
  </si>
  <si>
    <t xml:space="preserve">Model narration; training library.</t>
  </si>
  <si>
    <t xml:space="preserve">75–89</t>
  </si>
  <si>
    <t xml:space="preserve">B — Pass</t>
  </si>
  <si>
    <t xml:space="preserve">Narration acceptable — submit PD Report/CAM/BRE.</t>
  </si>
  <si>
    <t xml:space="preserve">60–74</t>
  </si>
  <si>
    <t xml:space="preserve">C — Conditional</t>
  </si>
  <si>
    <t xml:space="preserve">Supplementary narration covering the gap list before CAM submission.</t>
  </si>
  <si>
    <t xml:space="preserve">Below 60</t>
  </si>
  <si>
    <t xml:space="preserve">D — Fail</t>
  </si>
  <si>
    <t xml:space="preserve">Re-record after review with RCM; counts in BCM quality MIS.</t>
  </si>
  <si>
    <t xml:space="preserve">Any knock-out failed</t>
  </si>
  <si>
    <t xml:space="preserve">INVALID</t>
  </si>
  <si>
    <t xml:space="preserve">Recording rejected regardless of score; re-conduct.</t>
  </si>
  <si>
    <t xml:space="preserve">Minimum passing standard: Score ≥ 75 AND all 8 knock-out gates PASS AND no open red flag.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</si>
</sst>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Display"/>
      <family val="2"/>
      <charset val="1"/>
    </font>
    <font>
      <b val="true"/>
      <sz val="11"/>
      <name val="Aptos Display"/>
      <family val="2"/>
      <charset val="1"/>
    </font>
    <font>
      <sz val="11"/>
      <name val="Aptos Display"/>
      <family val="2"/>
      <charset val="1"/>
    </font>
    <font>
      <b val="true"/>
      <sz val="13"/>
      <color rgb="FFFFFFFF"/>
      <name val="Aptos Display"/>
      <family val="2"/>
      <charset val="1"/>
    </font>
    <font>
      <b val="true"/>
      <sz val="11"/>
      <color rgb="FFFFFFFF"/>
      <name val="Aptos Display"/>
      <family val="2"/>
      <charset val="1"/>
    </font>
    <font>
      <i val="true"/>
      <sz val="10"/>
      <color rgb="FF595959"/>
      <name val="Aptos Display"/>
      <family val="2"/>
      <charset val="1"/>
    </font>
    <font>
      <sz val="10"/>
      <name val="Aptos Display"/>
      <family val="2"/>
      <charset val="1"/>
    </font>
    <font>
      <b val="true"/>
      <sz val="10"/>
      <color rgb="FFFFFFFF"/>
      <name val="Aptos Display"/>
      <family val="2"/>
      <charset val="1"/>
    </font>
    <font>
      <b val="true"/>
      <sz val="12"/>
      <color rgb="FFFFFFFF"/>
      <name val="Aptos Display"/>
      <family val="2"/>
      <charset val="1"/>
    </font>
    <font>
      <b val="true"/>
      <sz val="12"/>
      <name val="Aptos Display"/>
      <family val="2"/>
      <charset val="1"/>
    </font>
    <font>
      <i val="true"/>
      <sz val="11"/>
      <color rgb="FF595959"/>
      <name val="Aptos Display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F2F2F2"/>
      </patternFill>
    </fill>
    <fill>
      <patternFill patternType="solid">
        <fgColor rgb="FF7C1D1D"/>
        <bgColor rgb="FF8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  <col collapsed="false" customWidth="false" hidden="false" outlineLevel="0" max="16384" min="3" style="1" width="8.67"/>
  </cols>
  <sheetData>
    <row r="2" customFormat="false" ht="27.75" hidden="false" customHeight="true" outlineLevel="0" collapsed="false">
      <c r="B2" s="2" t="s">
        <v>0</v>
      </c>
    </row>
    <row r="3" customFormat="false" ht="28.5" hidden="false" customHeight="true" outlineLevel="0" collapsed="false">
      <c r="B3" s="3" t="s">
        <v>1</v>
      </c>
    </row>
    <row r="4" customFormat="false" ht="14.25" hidden="false" customHeight="true" outlineLevel="0" collapsed="false">
      <c r="B4" s="4"/>
    </row>
    <row r="5" customFormat="false" ht="14.25" hidden="false" customHeight="true" outlineLevel="0" collapsed="false">
      <c r="B5" s="5" t="s">
        <v>2</v>
      </c>
    </row>
    <row r="6" customFormat="false" ht="28.5" hidden="false" customHeight="true" outlineLevel="0" collapsed="false">
      <c r="B6" s="4" t="s">
        <v>3</v>
      </c>
    </row>
    <row r="7" customFormat="false" ht="28.5" hidden="false" customHeight="true" outlineLevel="0" collapsed="false">
      <c r="B7" s="4" t="s">
        <v>4</v>
      </c>
    </row>
    <row r="8" customFormat="false" ht="28.5" hidden="false" customHeight="true" outlineLevel="0" collapsed="false">
      <c r="B8" s="4" t="s">
        <v>5</v>
      </c>
    </row>
    <row r="9" customFormat="false" ht="28.5" hidden="false" customHeight="true" outlineLevel="0" collapsed="false">
      <c r="B9" s="4" t="s">
        <v>6</v>
      </c>
    </row>
    <row r="10" customFormat="false" ht="27.75" hidden="false" customHeight="true" outlineLevel="0" collapsed="false">
      <c r="B10" s="4" t="s">
        <v>7</v>
      </c>
    </row>
    <row r="11" customFormat="false" ht="42.75" hidden="false" customHeight="true" outlineLevel="0" collapsed="false">
      <c r="B11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70" activePane="bottomLeft" state="frozen"/>
      <selection pane="topLeft" activeCell="A1" activeCellId="0" sqref="A1"/>
      <selection pane="bottomLeft" activeCell="C5" activeCellId="0" sqref="C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5.56"/>
    <col collapsed="false" customWidth="true" hidden="false" outlineLevel="0" max="2" min="2" style="0" width="69.77"/>
    <col collapsed="false" customWidth="true" hidden="false" outlineLevel="0" max="3" min="3" style="0" width="52"/>
    <col collapsed="false" customWidth="true" hidden="false" outlineLevel="0" max="4" min="4" style="0" width="48.44"/>
    <col collapsed="false" customWidth="true" hidden="false" outlineLevel="0" max="5" min="5" style="0" width="21.88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45"/>
  </cols>
  <sheetData>
    <row r="1" customFormat="false" ht="17.25" hidden="false" customHeight="true" outlineLevel="0" collapsed="false">
      <c r="A1" s="7" t="s">
        <v>9</v>
      </c>
      <c r="B1" s="7"/>
      <c r="C1" s="7"/>
      <c r="D1" s="7"/>
      <c r="E1" s="7"/>
      <c r="F1" s="7"/>
      <c r="G1" s="7"/>
      <c r="H1" s="7"/>
      <c r="I1" s="7"/>
    </row>
    <row r="2" customFormat="false" ht="14.25" hidden="false" customHeight="true" outlineLevel="0" collapsed="false">
      <c r="A2" s="8" t="s">
        <v>10</v>
      </c>
      <c r="B2" s="9"/>
      <c r="C2" s="8" t="s">
        <v>11</v>
      </c>
      <c r="D2" s="9"/>
      <c r="E2" s="10"/>
      <c r="F2" s="10"/>
      <c r="G2" s="10"/>
      <c r="H2" s="10"/>
      <c r="I2" s="10"/>
    </row>
    <row r="3" customFormat="false" ht="14.25" hidden="false" customHeight="true" outlineLevel="0" collapsed="false">
      <c r="A3" s="8" t="s">
        <v>12</v>
      </c>
      <c r="B3" s="9"/>
      <c r="C3" s="10"/>
      <c r="D3" s="10"/>
      <c r="E3" s="10"/>
      <c r="F3" s="10"/>
      <c r="G3" s="10"/>
      <c r="H3" s="10"/>
      <c r="I3" s="10"/>
    </row>
    <row r="4" customFormat="false" ht="14.25" hidden="false" customHeight="true" outlineLevel="0" collapsed="false">
      <c r="A4" s="8" t="s">
        <v>13</v>
      </c>
      <c r="B4" s="9"/>
      <c r="C4" s="10"/>
      <c r="D4" s="10"/>
      <c r="E4" s="10"/>
      <c r="F4" s="10"/>
      <c r="G4" s="10"/>
      <c r="H4" s="10"/>
      <c r="I4" s="10"/>
    </row>
    <row r="5" customFormat="false" ht="14.25" hidden="false" customHeight="true" outlineLevel="0" collapsed="false">
      <c r="A5" s="8" t="s">
        <v>14</v>
      </c>
      <c r="B5" s="9"/>
      <c r="C5" s="10"/>
      <c r="D5" s="10"/>
      <c r="E5" s="10"/>
      <c r="F5" s="10"/>
      <c r="G5" s="10"/>
      <c r="H5" s="10"/>
      <c r="I5" s="10"/>
    </row>
    <row r="6" customFormat="false" ht="14.25" hidden="false" customHeight="true" outlineLevel="0" collapsed="false">
      <c r="A6" s="8" t="s">
        <v>15</v>
      </c>
      <c r="B6" s="9"/>
      <c r="C6" s="10"/>
      <c r="D6" s="10"/>
      <c r="E6" s="10"/>
      <c r="F6" s="10"/>
      <c r="G6" s="10"/>
      <c r="H6" s="10"/>
      <c r="I6" s="10"/>
    </row>
    <row r="7" customFormat="false" ht="14.25" hidden="false" customHeight="true" outlineLevel="0" collapsed="false">
      <c r="A7" s="8" t="s">
        <v>16</v>
      </c>
      <c r="B7" s="9"/>
      <c r="C7" s="10"/>
      <c r="D7" s="10"/>
      <c r="E7" s="10"/>
      <c r="F7" s="10"/>
      <c r="G7" s="10"/>
      <c r="H7" s="10"/>
      <c r="I7" s="10"/>
    </row>
    <row r="8" customFormat="false" ht="14.2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28.5" hidden="false" customHeight="true" outlineLevel="0" collapsed="false">
      <c r="A9" s="11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24</v>
      </c>
      <c r="I9" s="11" t="s">
        <v>25</v>
      </c>
    </row>
    <row r="10" customFormat="false" ht="14.25" hidden="false" customHeight="true" outlineLevel="0" collapsed="false">
      <c r="A10" s="12" t="s">
        <v>26</v>
      </c>
      <c r="B10" s="12"/>
      <c r="C10" s="12"/>
      <c r="D10" s="12"/>
      <c r="E10" s="12"/>
      <c r="F10" s="12"/>
      <c r="G10" s="12"/>
      <c r="H10" s="12"/>
      <c r="I10" s="13" t="n">
        <v>8</v>
      </c>
    </row>
    <row r="11" customFormat="false" ht="28.5" hidden="false" customHeight="true" outlineLevel="0" collapsed="false">
      <c r="A11" s="14" t="s">
        <v>27</v>
      </c>
      <c r="B11" s="15" t="s">
        <v>28</v>
      </c>
      <c r="C11" s="16" t="s">
        <v>29</v>
      </c>
      <c r="D11" s="16" t="s">
        <v>30</v>
      </c>
      <c r="E11" s="17" t="s">
        <v>31</v>
      </c>
      <c r="F11" s="17" t="n">
        <v>2</v>
      </c>
      <c r="G11" s="18"/>
      <c r="H11" s="19" t="n">
        <f aca="false">IF(G11="N/A",0,F11*IF(G11="Full",1,IF(G11="Partial",0.5,0)))</f>
        <v>0</v>
      </c>
      <c r="I11" s="20"/>
    </row>
    <row r="12" customFormat="false" ht="42.75" hidden="false" customHeight="true" outlineLevel="0" collapsed="false">
      <c r="A12" s="14" t="s">
        <v>32</v>
      </c>
      <c r="B12" s="15" t="s">
        <v>33</v>
      </c>
      <c r="C12" s="16" t="s">
        <v>34</v>
      </c>
      <c r="D12" s="16" t="s">
        <v>35</v>
      </c>
      <c r="E12" s="17" t="s">
        <v>36</v>
      </c>
      <c r="F12" s="17" t="n">
        <v>2</v>
      </c>
      <c r="G12" s="18"/>
      <c r="H12" s="19" t="n">
        <f aca="false">IF(G12="N/A",0,F12*IF(G12="Full",1,IF(G12="Partial",0.5,0)))</f>
        <v>0</v>
      </c>
      <c r="I12" s="20"/>
    </row>
    <row r="13" customFormat="false" ht="42.75" hidden="false" customHeight="true" outlineLevel="0" collapsed="false">
      <c r="A13" s="14" t="s">
        <v>37</v>
      </c>
      <c r="B13" s="15" t="s">
        <v>38</v>
      </c>
      <c r="C13" s="16" t="s">
        <v>39</v>
      </c>
      <c r="D13" s="16" t="s">
        <v>40</v>
      </c>
      <c r="E13" s="17" t="s">
        <v>31</v>
      </c>
      <c r="F13" s="17" t="n">
        <v>2</v>
      </c>
      <c r="G13" s="18"/>
      <c r="H13" s="19" t="n">
        <f aca="false">IF(G13="N/A",0,F13*IF(G13="Full",1,IF(G13="Partial",0.5,0)))</f>
        <v>0</v>
      </c>
      <c r="I13" s="20"/>
    </row>
    <row r="14" customFormat="false" ht="27.75" hidden="false" customHeight="true" outlineLevel="0" collapsed="false">
      <c r="A14" s="14" t="s">
        <v>41</v>
      </c>
      <c r="B14" s="15" t="s">
        <v>42</v>
      </c>
      <c r="C14" s="16" t="s">
        <v>43</v>
      </c>
      <c r="D14" s="16" t="s">
        <v>44</v>
      </c>
      <c r="E14" s="17" t="s">
        <v>36</v>
      </c>
      <c r="F14" s="17" t="n">
        <v>2</v>
      </c>
      <c r="G14" s="18"/>
      <c r="H14" s="19" t="n">
        <f aca="false">IF(G14="N/A",0,F14*IF(G14="Full",1,IF(G14="Partial",0.5,0)))</f>
        <v>0</v>
      </c>
      <c r="I14" s="20"/>
    </row>
    <row r="15" customFormat="false" ht="14.25" hidden="false" customHeight="true" outlineLevel="0" collapsed="false">
      <c r="A15" s="12" t="s">
        <v>45</v>
      </c>
      <c r="B15" s="12"/>
      <c r="C15" s="12"/>
      <c r="D15" s="12"/>
      <c r="E15" s="12"/>
      <c r="F15" s="12"/>
      <c r="G15" s="12"/>
      <c r="H15" s="12"/>
      <c r="I15" s="13" t="n">
        <v>24</v>
      </c>
    </row>
    <row r="16" customFormat="false" ht="42.75" hidden="false" customHeight="true" outlineLevel="0" collapsed="false">
      <c r="A16" s="14" t="s">
        <v>46</v>
      </c>
      <c r="B16" s="15" t="s">
        <v>47</v>
      </c>
      <c r="C16" s="16" t="s">
        <v>48</v>
      </c>
      <c r="D16" s="16" t="s">
        <v>49</v>
      </c>
      <c r="E16" s="17" t="s">
        <v>36</v>
      </c>
      <c r="F16" s="17" t="n">
        <v>5</v>
      </c>
      <c r="G16" s="18"/>
      <c r="H16" s="19" t="n">
        <f aca="false">IF(G16="N/A",0,F16*IF(G16="Full",1,IF(G16="Partial",0.5,0)))</f>
        <v>0</v>
      </c>
      <c r="I16" s="20"/>
    </row>
    <row r="17" customFormat="false" ht="28.5" hidden="false" customHeight="true" outlineLevel="0" collapsed="false">
      <c r="A17" s="14" t="s">
        <v>50</v>
      </c>
      <c r="B17" s="15" t="s">
        <v>51</v>
      </c>
      <c r="C17" s="16" t="s">
        <v>52</v>
      </c>
      <c r="D17" s="16" t="s">
        <v>53</v>
      </c>
      <c r="E17" s="17" t="s">
        <v>36</v>
      </c>
      <c r="F17" s="17" t="n">
        <v>4</v>
      </c>
      <c r="G17" s="18"/>
      <c r="H17" s="19" t="n">
        <f aca="false">IF(G17="N/A",0,F17*IF(G17="Full",1,IF(G17="Partial",0.5,0)))</f>
        <v>0</v>
      </c>
      <c r="I17" s="20"/>
    </row>
    <row r="18" customFormat="false" ht="42.75" hidden="false" customHeight="true" outlineLevel="0" collapsed="false">
      <c r="A18" s="14" t="s">
        <v>54</v>
      </c>
      <c r="B18" s="15" t="s">
        <v>55</v>
      </c>
      <c r="C18" s="16" t="s">
        <v>56</v>
      </c>
      <c r="D18" s="16" t="s">
        <v>57</v>
      </c>
      <c r="E18" s="17" t="s">
        <v>31</v>
      </c>
      <c r="F18" s="17" t="n">
        <v>4</v>
      </c>
      <c r="G18" s="18"/>
      <c r="H18" s="19" t="n">
        <f aca="false">IF(G18="N/A",0,F18*IF(G18="Full",1,IF(G18="Partial",0.5,0)))</f>
        <v>0</v>
      </c>
      <c r="I18" s="20"/>
    </row>
    <row r="19" customFormat="false" ht="42.75" hidden="false" customHeight="true" outlineLevel="0" collapsed="false">
      <c r="A19" s="14" t="s">
        <v>58</v>
      </c>
      <c r="B19" s="15" t="s">
        <v>59</v>
      </c>
      <c r="C19" s="16" t="s">
        <v>60</v>
      </c>
      <c r="D19" s="16" t="s">
        <v>61</v>
      </c>
      <c r="E19" s="17" t="s">
        <v>31</v>
      </c>
      <c r="F19" s="17" t="n">
        <v>4</v>
      </c>
      <c r="G19" s="18"/>
      <c r="H19" s="19" t="n">
        <f aca="false">IF(G19="N/A",0,F19*IF(G19="Full",1,IF(G19="Partial",0.5,0)))</f>
        <v>0</v>
      </c>
      <c r="I19" s="20"/>
    </row>
    <row r="20" customFormat="false" ht="28.5" hidden="false" customHeight="true" outlineLevel="0" collapsed="false">
      <c r="A20" s="14" t="s">
        <v>62</v>
      </c>
      <c r="B20" s="15" t="s">
        <v>63</v>
      </c>
      <c r="C20" s="16" t="s">
        <v>64</v>
      </c>
      <c r="D20" s="16" t="s">
        <v>65</v>
      </c>
      <c r="E20" s="17" t="s">
        <v>36</v>
      </c>
      <c r="F20" s="17" t="n">
        <v>4</v>
      </c>
      <c r="G20" s="18"/>
      <c r="H20" s="19" t="n">
        <f aca="false">IF(G20="N/A",0,F20*IF(G20="Full",1,IF(G20="Partial",0.5,0)))</f>
        <v>0</v>
      </c>
      <c r="I20" s="20"/>
    </row>
    <row r="21" customFormat="false" ht="42.75" hidden="false" customHeight="true" outlineLevel="0" collapsed="false">
      <c r="A21" s="14" t="s">
        <v>66</v>
      </c>
      <c r="B21" s="15" t="s">
        <v>67</v>
      </c>
      <c r="C21" s="16" t="s">
        <v>68</v>
      </c>
      <c r="D21" s="16" t="s">
        <v>69</v>
      </c>
      <c r="E21" s="17" t="s">
        <v>36</v>
      </c>
      <c r="F21" s="17" t="n">
        <v>3</v>
      </c>
      <c r="G21" s="18"/>
      <c r="H21" s="19" t="n">
        <f aca="false">IF(G21="N/A",0,F21*IF(G21="Full",1,IF(G21="Partial",0.5,0)))</f>
        <v>0</v>
      </c>
      <c r="I21" s="20"/>
    </row>
    <row r="22" customFormat="false" ht="14.25" hidden="false" customHeight="true" outlineLevel="0" collapsed="false">
      <c r="A22" s="12" t="s">
        <v>70</v>
      </c>
      <c r="B22" s="12"/>
      <c r="C22" s="12"/>
      <c r="D22" s="12"/>
      <c r="E22" s="12"/>
      <c r="F22" s="12"/>
      <c r="G22" s="12"/>
      <c r="H22" s="12"/>
      <c r="I22" s="13" t="n">
        <v>10</v>
      </c>
    </row>
    <row r="23" customFormat="false" ht="42.75" hidden="false" customHeight="true" outlineLevel="0" collapsed="false">
      <c r="A23" s="14" t="s">
        <v>71</v>
      </c>
      <c r="B23" s="15" t="s">
        <v>72</v>
      </c>
      <c r="C23" s="16" t="s">
        <v>73</v>
      </c>
      <c r="D23" s="16" t="s">
        <v>74</v>
      </c>
      <c r="E23" s="17" t="s">
        <v>31</v>
      </c>
      <c r="F23" s="17" t="n">
        <v>4</v>
      </c>
      <c r="G23" s="18"/>
      <c r="H23" s="19" t="n">
        <f aca="false">IF(G23="N/A",0,F23*IF(G23="Full",1,IF(G23="Partial",0.5,0)))</f>
        <v>0</v>
      </c>
      <c r="I23" s="20"/>
    </row>
    <row r="24" customFormat="false" ht="42.75" hidden="false" customHeight="true" outlineLevel="0" collapsed="false">
      <c r="A24" s="14" t="s">
        <v>75</v>
      </c>
      <c r="B24" s="15" t="s">
        <v>76</v>
      </c>
      <c r="C24" s="16" t="s">
        <v>77</v>
      </c>
      <c r="D24" s="16" t="s">
        <v>78</v>
      </c>
      <c r="E24" s="17" t="s">
        <v>31</v>
      </c>
      <c r="F24" s="17" t="n">
        <v>3</v>
      </c>
      <c r="G24" s="18"/>
      <c r="H24" s="19" t="n">
        <f aca="false">IF(G24="N/A",0,F24*IF(G24="Full",1,IF(G24="Partial",0.5,0)))</f>
        <v>0</v>
      </c>
      <c r="I24" s="20"/>
    </row>
    <row r="25" customFormat="false" ht="28.5" hidden="false" customHeight="true" outlineLevel="0" collapsed="false">
      <c r="A25" s="14" t="s">
        <v>79</v>
      </c>
      <c r="B25" s="15" t="s">
        <v>80</v>
      </c>
      <c r="C25" s="16" t="s">
        <v>81</v>
      </c>
      <c r="D25" s="16" t="s">
        <v>82</v>
      </c>
      <c r="E25" s="17" t="s">
        <v>31</v>
      </c>
      <c r="F25" s="17" t="n">
        <v>3</v>
      </c>
      <c r="G25" s="18"/>
      <c r="H25" s="19" t="n">
        <f aca="false">IF(G25="N/A",0,F25*IF(G25="Full",1,IF(G25="Partial",0.5,0)))</f>
        <v>0</v>
      </c>
      <c r="I25" s="20"/>
    </row>
    <row r="26" customFormat="false" ht="14.25" hidden="false" customHeight="true" outlineLevel="0" collapsed="false">
      <c r="A26" s="12" t="s">
        <v>83</v>
      </c>
      <c r="B26" s="12"/>
      <c r="C26" s="12"/>
      <c r="D26" s="12"/>
      <c r="E26" s="12"/>
      <c r="F26" s="12"/>
      <c r="G26" s="12"/>
      <c r="H26" s="12"/>
      <c r="I26" s="13" t="n">
        <v>12</v>
      </c>
    </row>
    <row r="27" customFormat="false" ht="42.75" hidden="false" customHeight="true" outlineLevel="0" collapsed="false">
      <c r="A27" s="14" t="s">
        <v>84</v>
      </c>
      <c r="B27" s="15" t="s">
        <v>85</v>
      </c>
      <c r="C27" s="16" t="s">
        <v>86</v>
      </c>
      <c r="D27" s="16" t="s">
        <v>87</v>
      </c>
      <c r="E27" s="17" t="s">
        <v>36</v>
      </c>
      <c r="F27" s="17" t="n">
        <v>4</v>
      </c>
      <c r="G27" s="18"/>
      <c r="H27" s="19" t="n">
        <f aca="false">IF(G27="N/A",0,F27*IF(G27="Full",1,IF(G27="Partial",0.5,0)))</f>
        <v>0</v>
      </c>
      <c r="I27" s="20"/>
    </row>
    <row r="28" customFormat="false" ht="28.5" hidden="false" customHeight="true" outlineLevel="0" collapsed="false">
      <c r="A28" s="14" t="s">
        <v>88</v>
      </c>
      <c r="B28" s="15" t="s">
        <v>89</v>
      </c>
      <c r="C28" s="16" t="s">
        <v>90</v>
      </c>
      <c r="D28" s="16" t="s">
        <v>91</v>
      </c>
      <c r="E28" s="17" t="s">
        <v>31</v>
      </c>
      <c r="F28" s="17" t="n">
        <v>3</v>
      </c>
      <c r="G28" s="18"/>
      <c r="H28" s="19" t="n">
        <f aca="false">IF(G28="N/A",0,F28*IF(G28="Full",1,IF(G28="Partial",0.5,0)))</f>
        <v>0</v>
      </c>
      <c r="I28" s="20"/>
    </row>
    <row r="29" customFormat="false" ht="42.75" hidden="false" customHeight="true" outlineLevel="0" collapsed="false">
      <c r="A29" s="14" t="s">
        <v>92</v>
      </c>
      <c r="B29" s="15" t="s">
        <v>93</v>
      </c>
      <c r="C29" s="16" t="s">
        <v>94</v>
      </c>
      <c r="D29" s="16" t="s">
        <v>95</v>
      </c>
      <c r="E29" s="17" t="s">
        <v>31</v>
      </c>
      <c r="F29" s="17" t="n">
        <v>3</v>
      </c>
      <c r="G29" s="18"/>
      <c r="H29" s="19" t="n">
        <f aca="false">IF(G29="N/A",0,F29*IF(G29="Full",1,IF(G29="Partial",0.5,0)))</f>
        <v>0</v>
      </c>
      <c r="I29" s="20"/>
    </row>
    <row r="30" customFormat="false" ht="42.75" hidden="false" customHeight="true" outlineLevel="0" collapsed="false">
      <c r="A30" s="14" t="s">
        <v>96</v>
      </c>
      <c r="B30" s="15" t="s">
        <v>97</v>
      </c>
      <c r="C30" s="16" t="s">
        <v>98</v>
      </c>
      <c r="D30" s="16" t="s">
        <v>99</v>
      </c>
      <c r="E30" s="17" t="s">
        <v>31</v>
      </c>
      <c r="F30" s="17" t="n">
        <v>2</v>
      </c>
      <c r="G30" s="18"/>
      <c r="H30" s="19" t="n">
        <f aca="false">IF(G30="N/A",0,F30*IF(G30="Full",1,IF(G30="Partial",0.5,0)))</f>
        <v>0</v>
      </c>
      <c r="I30" s="20"/>
    </row>
    <row r="31" customFormat="false" ht="14.25" hidden="false" customHeight="true" outlineLevel="0" collapsed="false">
      <c r="A31" s="12" t="s">
        <v>100</v>
      </c>
      <c r="B31" s="12"/>
      <c r="C31" s="12"/>
      <c r="D31" s="12"/>
      <c r="E31" s="12"/>
      <c r="F31" s="12"/>
      <c r="G31" s="12"/>
      <c r="H31" s="12"/>
      <c r="I31" s="13" t="n">
        <v>16</v>
      </c>
    </row>
    <row r="32" customFormat="false" ht="28.5" hidden="false" customHeight="true" outlineLevel="0" collapsed="false">
      <c r="A32" s="14" t="s">
        <v>101</v>
      </c>
      <c r="B32" s="15" t="s">
        <v>102</v>
      </c>
      <c r="C32" s="16" t="s">
        <v>103</v>
      </c>
      <c r="D32" s="16" t="s">
        <v>104</v>
      </c>
      <c r="E32" s="17" t="s">
        <v>31</v>
      </c>
      <c r="F32" s="17" t="n">
        <v>4</v>
      </c>
      <c r="G32" s="18"/>
      <c r="H32" s="19" t="n">
        <f aca="false">IF(G32="N/A",0,F32*IF(G32="Full",1,IF(G32="Partial",0.5,0)))</f>
        <v>0</v>
      </c>
      <c r="I32" s="20"/>
    </row>
    <row r="33" customFormat="false" ht="42.75" hidden="false" customHeight="true" outlineLevel="0" collapsed="false">
      <c r="A33" s="14" t="s">
        <v>105</v>
      </c>
      <c r="B33" s="15" t="s">
        <v>106</v>
      </c>
      <c r="C33" s="16" t="s">
        <v>107</v>
      </c>
      <c r="D33" s="16" t="s">
        <v>108</v>
      </c>
      <c r="E33" s="17" t="s">
        <v>36</v>
      </c>
      <c r="F33" s="17" t="n">
        <v>5</v>
      </c>
      <c r="G33" s="18"/>
      <c r="H33" s="19" t="n">
        <f aca="false">IF(G33="N/A",0,F33*IF(G33="Full",1,IF(G33="Partial",0.5,0)))</f>
        <v>0</v>
      </c>
      <c r="I33" s="20"/>
    </row>
    <row r="34" customFormat="false" ht="28.5" hidden="false" customHeight="true" outlineLevel="0" collapsed="false">
      <c r="A34" s="14" t="s">
        <v>109</v>
      </c>
      <c r="B34" s="15" t="s">
        <v>110</v>
      </c>
      <c r="C34" s="16" t="s">
        <v>111</v>
      </c>
      <c r="D34" s="16" t="s">
        <v>65</v>
      </c>
      <c r="E34" s="17" t="s">
        <v>36</v>
      </c>
      <c r="F34" s="17" t="n">
        <v>4</v>
      </c>
      <c r="G34" s="18"/>
      <c r="H34" s="19" t="n">
        <f aca="false">IF(G34="N/A",0,F34*IF(G34="Full",1,IF(G34="Partial",0.5,0)))</f>
        <v>0</v>
      </c>
      <c r="I34" s="20"/>
    </row>
    <row r="35" customFormat="false" ht="42.75" hidden="false" customHeight="true" outlineLevel="0" collapsed="false">
      <c r="A35" s="14" t="s">
        <v>112</v>
      </c>
      <c r="B35" s="15" t="s">
        <v>113</v>
      </c>
      <c r="C35" s="16" t="s">
        <v>114</v>
      </c>
      <c r="D35" s="16" t="s">
        <v>115</v>
      </c>
      <c r="E35" s="17" t="s">
        <v>31</v>
      </c>
      <c r="F35" s="17" t="n">
        <v>3</v>
      </c>
      <c r="G35" s="18"/>
      <c r="H35" s="19" t="n">
        <f aca="false">IF(G35="N/A",0,F35*IF(G35="Full",1,IF(G35="Partial",0.5,0)))</f>
        <v>0</v>
      </c>
      <c r="I35" s="20"/>
    </row>
    <row r="36" customFormat="false" ht="14.25" hidden="false" customHeight="true" outlineLevel="0" collapsed="false">
      <c r="A36" s="12" t="s">
        <v>116</v>
      </c>
      <c r="B36" s="12"/>
      <c r="C36" s="12"/>
      <c r="D36" s="12"/>
      <c r="E36" s="12"/>
      <c r="F36" s="12"/>
      <c r="G36" s="12"/>
      <c r="H36" s="12"/>
      <c r="I36" s="13" t="n">
        <v>14</v>
      </c>
    </row>
    <row r="37" customFormat="false" ht="42.75" hidden="false" customHeight="true" outlineLevel="0" collapsed="false">
      <c r="A37" s="14" t="s">
        <v>117</v>
      </c>
      <c r="B37" s="15" t="s">
        <v>118</v>
      </c>
      <c r="C37" s="16" t="s">
        <v>119</v>
      </c>
      <c r="D37" s="16" t="s">
        <v>120</v>
      </c>
      <c r="E37" s="17" t="s">
        <v>31</v>
      </c>
      <c r="F37" s="17" t="n">
        <v>4</v>
      </c>
      <c r="G37" s="18"/>
      <c r="H37" s="19" t="n">
        <f aca="false">IF(G37="N/A",0,F37*IF(G37="Full",1,IF(G37="Partial",0.5,0)))</f>
        <v>0</v>
      </c>
      <c r="I37" s="20"/>
    </row>
    <row r="38" customFormat="false" ht="42.75" hidden="false" customHeight="true" outlineLevel="0" collapsed="false">
      <c r="A38" s="14" t="s">
        <v>121</v>
      </c>
      <c r="B38" s="15" t="s">
        <v>122</v>
      </c>
      <c r="C38" s="16" t="s">
        <v>123</v>
      </c>
      <c r="D38" s="16" t="s">
        <v>124</v>
      </c>
      <c r="E38" s="17" t="s">
        <v>36</v>
      </c>
      <c r="F38" s="17" t="n">
        <v>4</v>
      </c>
      <c r="G38" s="18"/>
      <c r="H38" s="19" t="n">
        <f aca="false">IF(G38="N/A",0,F38*IF(G38="Full",1,IF(G38="Partial",0.5,0)))</f>
        <v>0</v>
      </c>
      <c r="I38" s="20"/>
    </row>
    <row r="39" customFormat="false" ht="28.5" hidden="false" customHeight="true" outlineLevel="0" collapsed="false">
      <c r="A39" s="14" t="s">
        <v>125</v>
      </c>
      <c r="B39" s="15" t="s">
        <v>126</v>
      </c>
      <c r="C39" s="16" t="s">
        <v>127</v>
      </c>
      <c r="D39" s="16" t="s">
        <v>120</v>
      </c>
      <c r="E39" s="17" t="s">
        <v>31</v>
      </c>
      <c r="F39" s="17" t="n">
        <v>3</v>
      </c>
      <c r="G39" s="18"/>
      <c r="H39" s="19" t="n">
        <f aca="false">IF(G39="N/A",0,F39*IF(G39="Full",1,IF(G39="Partial",0.5,0)))</f>
        <v>0</v>
      </c>
      <c r="I39" s="20"/>
    </row>
    <row r="40" customFormat="false" ht="42.75" hidden="false" customHeight="true" outlineLevel="0" collapsed="false">
      <c r="A40" s="14" t="s">
        <v>128</v>
      </c>
      <c r="B40" s="15" t="s">
        <v>129</v>
      </c>
      <c r="C40" s="16" t="s">
        <v>130</v>
      </c>
      <c r="D40" s="16" t="s">
        <v>131</v>
      </c>
      <c r="E40" s="17" t="s">
        <v>31</v>
      </c>
      <c r="F40" s="17" t="n">
        <v>3</v>
      </c>
      <c r="G40" s="18"/>
      <c r="H40" s="19" t="n">
        <f aca="false">IF(G40="N/A",0,F40*IF(G40="Full",1,IF(G40="Partial",0.5,0)))</f>
        <v>0</v>
      </c>
      <c r="I40" s="20"/>
    </row>
    <row r="41" customFormat="false" ht="14.25" hidden="false" customHeight="true" outlineLevel="0" collapsed="false">
      <c r="A41" s="12" t="s">
        <v>132</v>
      </c>
      <c r="B41" s="12"/>
      <c r="C41" s="12"/>
      <c r="D41" s="12"/>
      <c r="E41" s="12"/>
      <c r="F41" s="12"/>
      <c r="G41" s="12"/>
      <c r="H41" s="12"/>
      <c r="I41" s="13" t="n">
        <v>10</v>
      </c>
    </row>
    <row r="42" customFormat="false" ht="28.5" hidden="false" customHeight="true" outlineLevel="0" collapsed="false">
      <c r="A42" s="14" t="s">
        <v>133</v>
      </c>
      <c r="B42" s="15" t="s">
        <v>134</v>
      </c>
      <c r="C42" s="16" t="s">
        <v>135</v>
      </c>
      <c r="D42" s="16" t="s">
        <v>136</v>
      </c>
      <c r="E42" s="17" t="s">
        <v>31</v>
      </c>
      <c r="F42" s="17" t="n">
        <v>3</v>
      </c>
      <c r="G42" s="18"/>
      <c r="H42" s="19" t="n">
        <f aca="false">IF(G42="N/A",0,F42*IF(G42="Full",1,IF(G42="Partial",0.5,0)))</f>
        <v>0</v>
      </c>
      <c r="I42" s="20"/>
    </row>
    <row r="43" customFormat="false" ht="42.75" hidden="false" customHeight="true" outlineLevel="0" collapsed="false">
      <c r="A43" s="14" t="s">
        <v>137</v>
      </c>
      <c r="B43" s="15" t="s">
        <v>138</v>
      </c>
      <c r="C43" s="16" t="s">
        <v>139</v>
      </c>
      <c r="D43" s="16" t="s">
        <v>140</v>
      </c>
      <c r="E43" s="17" t="s">
        <v>31</v>
      </c>
      <c r="F43" s="17" t="n">
        <v>4</v>
      </c>
      <c r="G43" s="18"/>
      <c r="H43" s="19" t="n">
        <f aca="false">IF(G43="N/A",0,F43*IF(G43="Full",1,IF(G43="Partial",0.5,0)))</f>
        <v>0</v>
      </c>
      <c r="I43" s="20"/>
    </row>
    <row r="44" customFormat="false" ht="42.75" hidden="false" customHeight="true" outlineLevel="0" collapsed="false">
      <c r="A44" s="14" t="s">
        <v>141</v>
      </c>
      <c r="B44" s="15" t="s">
        <v>142</v>
      </c>
      <c r="C44" s="16" t="s">
        <v>143</v>
      </c>
      <c r="D44" s="16" t="s">
        <v>144</v>
      </c>
      <c r="E44" s="17" t="s">
        <v>31</v>
      </c>
      <c r="F44" s="17" t="n">
        <v>3</v>
      </c>
      <c r="G44" s="18"/>
      <c r="H44" s="19" t="n">
        <f aca="false">IF(G44="N/A",0,F44*IF(G44="Full",1,IF(G44="Partial",0.5,0)))</f>
        <v>0</v>
      </c>
      <c r="I44" s="20"/>
    </row>
    <row r="45" customFormat="false" ht="14.25" hidden="false" customHeight="true" outlineLevel="0" collapsed="false">
      <c r="A45" s="12" t="s">
        <v>145</v>
      </c>
      <c r="B45" s="12"/>
      <c r="C45" s="12"/>
      <c r="D45" s="12"/>
      <c r="E45" s="12"/>
      <c r="F45" s="12"/>
      <c r="G45" s="12"/>
      <c r="H45" s="12"/>
      <c r="I45" s="13" t="n">
        <v>6</v>
      </c>
    </row>
    <row r="46" customFormat="false" ht="28.5" hidden="false" customHeight="true" outlineLevel="0" collapsed="false">
      <c r="A46" s="14" t="s">
        <v>146</v>
      </c>
      <c r="B46" s="15" t="s">
        <v>147</v>
      </c>
      <c r="C46" s="16" t="s">
        <v>148</v>
      </c>
      <c r="D46" s="16" t="s">
        <v>149</v>
      </c>
      <c r="E46" s="17" t="s">
        <v>31</v>
      </c>
      <c r="F46" s="17" t="n">
        <v>2</v>
      </c>
      <c r="G46" s="18"/>
      <c r="H46" s="19" t="n">
        <f aca="false">IF(G46="N/A",0,F46*IF(G46="Full",1,IF(G46="Partial",0.5,0)))</f>
        <v>0</v>
      </c>
      <c r="I46" s="20"/>
    </row>
    <row r="47" customFormat="false" ht="27.75" hidden="false" customHeight="true" outlineLevel="0" collapsed="false">
      <c r="A47" s="14" t="s">
        <v>150</v>
      </c>
      <c r="B47" s="15" t="s">
        <v>151</v>
      </c>
      <c r="C47" s="16" t="s">
        <v>152</v>
      </c>
      <c r="D47" s="16" t="s">
        <v>44</v>
      </c>
      <c r="E47" s="17" t="s">
        <v>36</v>
      </c>
      <c r="F47" s="17" t="n">
        <v>2</v>
      </c>
      <c r="G47" s="18"/>
      <c r="H47" s="19" t="n">
        <f aca="false">IF(G47="N/A",0,F47*IF(G47="Full",1,IF(G47="Partial",0.5,0)))</f>
        <v>0</v>
      </c>
      <c r="I47" s="20"/>
    </row>
    <row r="48" customFormat="false" ht="28.5" hidden="false" customHeight="true" outlineLevel="0" collapsed="false">
      <c r="A48" s="14" t="s">
        <v>153</v>
      </c>
      <c r="B48" s="15" t="s">
        <v>154</v>
      </c>
      <c r="C48" s="16" t="s">
        <v>155</v>
      </c>
      <c r="D48" s="16" t="s">
        <v>156</v>
      </c>
      <c r="E48" s="17" t="s">
        <v>31</v>
      </c>
      <c r="F48" s="17" t="n">
        <v>2</v>
      </c>
      <c r="G48" s="18"/>
      <c r="H48" s="19" t="n">
        <f aca="false">IF(G48="N/A",0,F48*IF(G48="Full",1,IF(G48="Partial",0.5,0)))</f>
        <v>0</v>
      </c>
      <c r="I48" s="20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4.25" hidden="false" customHeight="true" outlineLevel="0" collapsed="false">
      <c r="A50" s="10"/>
      <c r="B50" s="21" t="s">
        <v>157</v>
      </c>
      <c r="C50" s="22"/>
      <c r="D50" s="22"/>
      <c r="E50" s="22"/>
      <c r="F50" s="22"/>
      <c r="G50" s="10"/>
      <c r="H50" s="10"/>
      <c r="I50" s="10"/>
    </row>
    <row r="51" customFormat="false" ht="14.25" hidden="false" customHeight="true" outlineLevel="0" collapsed="false">
      <c r="A51" s="10"/>
      <c r="B51" s="23" t="s">
        <v>158</v>
      </c>
      <c r="C51" s="23" t="s">
        <v>22</v>
      </c>
      <c r="D51" s="23" t="s">
        <v>159</v>
      </c>
      <c r="E51" s="23" t="s">
        <v>160</v>
      </c>
      <c r="F51" s="23" t="s">
        <v>161</v>
      </c>
      <c r="G51" s="10"/>
      <c r="H51" s="10"/>
      <c r="I51" s="10"/>
    </row>
    <row r="52" customFormat="false" ht="14.25" hidden="false" customHeight="true" outlineLevel="0" collapsed="false">
      <c r="A52" s="10"/>
      <c r="B52" s="24" t="s">
        <v>162</v>
      </c>
      <c r="C52" s="25" t="n">
        <v>8</v>
      </c>
      <c r="D52" s="25" t="n">
        <f aca="false">SUMPRODUCT((G11:G14&lt;&gt;"N/A")*F11:F14)</f>
        <v>8</v>
      </c>
      <c r="E52" s="25" t="n">
        <f aca="false">SUM(H11:H14)</f>
        <v>0</v>
      </c>
      <c r="F52" s="25" t="n">
        <f aca="false">IF(D52=0,"N/A",ROUND(E52/D52*100,0))</f>
        <v>0</v>
      </c>
      <c r="G52" s="10"/>
      <c r="H52" s="10"/>
      <c r="I52" s="10"/>
    </row>
    <row r="53" customFormat="false" ht="14.25" hidden="false" customHeight="true" outlineLevel="0" collapsed="false">
      <c r="A53" s="10"/>
      <c r="B53" s="24" t="s">
        <v>163</v>
      </c>
      <c r="C53" s="25" t="n">
        <v>24</v>
      </c>
      <c r="D53" s="25" t="n">
        <f aca="false">SUMPRODUCT((G16:G21&lt;&gt;"N/A")*F16:F21)</f>
        <v>24</v>
      </c>
      <c r="E53" s="25" t="n">
        <f aca="false">SUM(H16:H21)</f>
        <v>0</v>
      </c>
      <c r="F53" s="25" t="n">
        <f aca="false">IF(D53=0,"N/A",ROUND(E53/D53*100,0))</f>
        <v>0</v>
      </c>
      <c r="G53" s="10"/>
      <c r="H53" s="10"/>
      <c r="I53" s="10"/>
    </row>
    <row r="54" customFormat="false" ht="14.25" hidden="false" customHeight="true" outlineLevel="0" collapsed="false">
      <c r="A54" s="10"/>
      <c r="B54" s="24" t="s">
        <v>164</v>
      </c>
      <c r="C54" s="25" t="n">
        <v>10</v>
      </c>
      <c r="D54" s="25" t="n">
        <f aca="false">SUMPRODUCT((G23:G25&lt;&gt;"N/A")*F23:F25)</f>
        <v>10</v>
      </c>
      <c r="E54" s="25" t="n">
        <f aca="false">SUM(H23:H25)</f>
        <v>0</v>
      </c>
      <c r="F54" s="25" t="n">
        <f aca="false">IF(D54=0,"N/A",ROUND(E54/D54*100,0))</f>
        <v>0</v>
      </c>
      <c r="G54" s="10"/>
      <c r="H54" s="10"/>
      <c r="I54" s="10"/>
    </row>
    <row r="55" customFormat="false" ht="14.25" hidden="false" customHeight="true" outlineLevel="0" collapsed="false">
      <c r="A55" s="10"/>
      <c r="B55" s="24" t="s">
        <v>165</v>
      </c>
      <c r="C55" s="25" t="n">
        <v>12</v>
      </c>
      <c r="D55" s="25" t="n">
        <f aca="false">SUMPRODUCT((G27:G30&lt;&gt;"N/A")*F27:F30)</f>
        <v>12</v>
      </c>
      <c r="E55" s="25" t="n">
        <f aca="false">SUM(H27:H30)</f>
        <v>0</v>
      </c>
      <c r="F55" s="25" t="n">
        <f aca="false">IF(D55=0,"N/A",ROUND(E55/D55*100,0))</f>
        <v>0</v>
      </c>
      <c r="G55" s="10"/>
      <c r="H55" s="10"/>
      <c r="I55" s="10"/>
    </row>
    <row r="56" customFormat="false" ht="14.25" hidden="false" customHeight="true" outlineLevel="0" collapsed="false">
      <c r="A56" s="10"/>
      <c r="B56" s="24" t="s">
        <v>166</v>
      </c>
      <c r="C56" s="25" t="n">
        <v>16</v>
      </c>
      <c r="D56" s="25" t="n">
        <f aca="false">SUMPRODUCT((G32:G35&lt;&gt;"N/A")*F32:F35)</f>
        <v>16</v>
      </c>
      <c r="E56" s="25" t="n">
        <f aca="false">SUM(H32:H35)</f>
        <v>0</v>
      </c>
      <c r="F56" s="25" t="n">
        <f aca="false">IF(D56=0,"N/A",ROUND(E56/D56*100,0))</f>
        <v>0</v>
      </c>
      <c r="G56" s="10"/>
      <c r="H56" s="10"/>
      <c r="I56" s="10"/>
    </row>
    <row r="57" customFormat="false" ht="14.25" hidden="false" customHeight="true" outlineLevel="0" collapsed="false">
      <c r="A57" s="10"/>
      <c r="B57" s="24" t="s">
        <v>167</v>
      </c>
      <c r="C57" s="25" t="n">
        <v>14</v>
      </c>
      <c r="D57" s="25" t="n">
        <f aca="false">SUMPRODUCT((G37:G40&lt;&gt;"N/A")*F37:F40)</f>
        <v>14</v>
      </c>
      <c r="E57" s="25" t="n">
        <f aca="false">SUM(H37:H40)</f>
        <v>0</v>
      </c>
      <c r="F57" s="25" t="n">
        <f aca="false">IF(D57=0,"N/A",ROUND(E57/D57*100,0))</f>
        <v>0</v>
      </c>
      <c r="G57" s="10"/>
      <c r="H57" s="10"/>
      <c r="I57" s="10"/>
    </row>
    <row r="58" customFormat="false" ht="14.25" hidden="false" customHeight="true" outlineLevel="0" collapsed="false">
      <c r="A58" s="10"/>
      <c r="B58" s="24" t="s">
        <v>168</v>
      </c>
      <c r="C58" s="25" t="n">
        <v>10</v>
      </c>
      <c r="D58" s="25" t="n">
        <f aca="false">SUMPRODUCT((G42:G44&lt;&gt;"N/A")*F42:F44)</f>
        <v>10</v>
      </c>
      <c r="E58" s="25" t="n">
        <f aca="false">SUM(H42:H44)</f>
        <v>0</v>
      </c>
      <c r="F58" s="25" t="n">
        <f aca="false">IF(D58=0,"N/A",ROUND(E58/D58*100,0))</f>
        <v>0</v>
      </c>
      <c r="G58" s="10"/>
      <c r="H58" s="10"/>
      <c r="I58" s="10"/>
    </row>
    <row r="59" customFormat="false" ht="14.25" hidden="false" customHeight="true" outlineLevel="0" collapsed="false">
      <c r="A59" s="10"/>
      <c r="B59" s="24" t="s">
        <v>169</v>
      </c>
      <c r="C59" s="25" t="n">
        <v>6</v>
      </c>
      <c r="D59" s="25" t="n">
        <f aca="false">SUMPRODUCT((G46:G48&lt;&gt;"N/A")*F46:F48)</f>
        <v>6</v>
      </c>
      <c r="E59" s="25" t="n">
        <f aca="false">SUM(H46:H48)</f>
        <v>0</v>
      </c>
      <c r="F59" s="25" t="n">
        <f aca="false">IF(D59=0,"N/A",ROUND(E59/D59*100,0))</f>
        <v>0</v>
      </c>
      <c r="G59" s="10"/>
      <c r="H59" s="10"/>
      <c r="I59" s="10"/>
    </row>
    <row r="60" customFormat="false" ht="14.2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  <row r="61" customFormat="false" ht="14.25" hidden="false" customHeight="true" outlineLevel="0" collapsed="false">
      <c r="A61" s="10"/>
      <c r="B61" s="26" t="s">
        <v>170</v>
      </c>
      <c r="C61" s="10"/>
      <c r="D61" s="10"/>
      <c r="E61" s="10"/>
      <c r="F61" s="10"/>
      <c r="G61" s="10"/>
      <c r="H61" s="10"/>
      <c r="I61" s="10"/>
    </row>
    <row r="62" customFormat="false" ht="14.25" hidden="false" customHeight="true" outlineLevel="0" collapsed="false">
      <c r="A62" s="23" t="s">
        <v>171</v>
      </c>
      <c r="B62" s="23" t="s">
        <v>172</v>
      </c>
      <c r="E62" s="23" t="s">
        <v>173</v>
      </c>
      <c r="F62" s="10"/>
      <c r="G62" s="10"/>
      <c r="H62" s="10"/>
      <c r="I62" s="10"/>
    </row>
    <row r="63" customFormat="false" ht="27.75" hidden="false" customHeight="true" outlineLevel="0" collapsed="false">
      <c r="A63" s="8" t="s">
        <v>174</v>
      </c>
      <c r="B63" s="4" t="s">
        <v>175</v>
      </c>
      <c r="C63" s="4"/>
      <c r="D63" s="4"/>
      <c r="E63" s="27"/>
      <c r="F63" s="28"/>
      <c r="G63" s="10"/>
      <c r="H63" s="10"/>
      <c r="I63" s="10"/>
    </row>
    <row r="64" customFormat="false" ht="27.75" hidden="false" customHeight="true" outlineLevel="0" collapsed="false">
      <c r="A64" s="8" t="s">
        <v>176</v>
      </c>
      <c r="B64" s="4" t="s">
        <v>177</v>
      </c>
      <c r="C64" s="4"/>
      <c r="D64" s="4"/>
      <c r="E64" s="27"/>
      <c r="F64" s="28"/>
      <c r="G64" s="10"/>
      <c r="H64" s="10"/>
      <c r="I64" s="10"/>
    </row>
    <row r="65" customFormat="false" ht="27.75" hidden="false" customHeight="true" outlineLevel="0" collapsed="false">
      <c r="A65" s="8" t="s">
        <v>178</v>
      </c>
      <c r="B65" s="4" t="s">
        <v>179</v>
      </c>
      <c r="C65" s="4"/>
      <c r="D65" s="4"/>
      <c r="E65" s="27"/>
      <c r="F65" s="28"/>
      <c r="G65" s="10"/>
      <c r="H65" s="10"/>
      <c r="I65" s="10"/>
    </row>
    <row r="66" customFormat="false" ht="14.25" hidden="false" customHeight="true" outlineLevel="0" collapsed="false">
      <c r="A66" s="8" t="s">
        <v>180</v>
      </c>
      <c r="B66" s="4" t="s">
        <v>181</v>
      </c>
      <c r="C66" s="4"/>
      <c r="D66" s="4"/>
      <c r="E66" s="27"/>
      <c r="F66" s="28"/>
      <c r="G66" s="10"/>
      <c r="H66" s="10"/>
      <c r="I66" s="10"/>
    </row>
    <row r="67" customFormat="false" ht="27.75" hidden="false" customHeight="true" outlineLevel="0" collapsed="false">
      <c r="A67" s="8" t="s">
        <v>182</v>
      </c>
      <c r="B67" s="4" t="s">
        <v>183</v>
      </c>
      <c r="C67" s="4"/>
      <c r="D67" s="4"/>
      <c r="E67" s="27"/>
      <c r="F67" s="28"/>
      <c r="G67" s="10"/>
      <c r="H67" s="10"/>
      <c r="I67" s="10"/>
    </row>
    <row r="68" customFormat="false" ht="14.25" hidden="false" customHeight="true" outlineLevel="0" collapsed="false">
      <c r="A68" s="8" t="s">
        <v>184</v>
      </c>
      <c r="B68" s="4" t="s">
        <v>185</v>
      </c>
      <c r="C68" s="4"/>
      <c r="D68" s="4"/>
      <c r="E68" s="27"/>
      <c r="F68" s="28"/>
      <c r="G68" s="10"/>
      <c r="H68" s="10"/>
      <c r="I68" s="10"/>
    </row>
    <row r="69" customFormat="false" ht="27.75" hidden="false" customHeight="true" outlineLevel="0" collapsed="false">
      <c r="A69" s="8" t="s">
        <v>186</v>
      </c>
      <c r="B69" s="4" t="s">
        <v>187</v>
      </c>
      <c r="C69" s="4"/>
      <c r="D69" s="4"/>
      <c r="E69" s="27"/>
      <c r="F69" s="28"/>
      <c r="G69" s="10"/>
      <c r="H69" s="10"/>
      <c r="I69" s="10"/>
    </row>
    <row r="70" customFormat="false" ht="27.75" hidden="false" customHeight="true" outlineLevel="0" collapsed="false">
      <c r="A70" s="8" t="s">
        <v>188</v>
      </c>
      <c r="B70" s="4" t="s">
        <v>189</v>
      </c>
      <c r="C70" s="4"/>
      <c r="D70" s="4"/>
      <c r="E70" s="27"/>
      <c r="F70" s="28"/>
      <c r="G70" s="10"/>
      <c r="H70" s="10"/>
      <c r="I70" s="10"/>
    </row>
    <row r="71" customFormat="false" ht="14.25" hidden="false" customHeight="true" outlineLevel="0" collapsed="false">
      <c r="A71" s="22"/>
      <c r="B71" s="22"/>
      <c r="C71" s="22"/>
      <c r="D71" s="22"/>
      <c r="E71" s="22"/>
      <c r="F71" s="10"/>
      <c r="G71" s="10"/>
      <c r="H71" s="10"/>
      <c r="I71" s="10"/>
    </row>
    <row r="72" customFormat="false" ht="14.25" hidden="false" customHeight="true" outlineLevel="0" collapsed="false">
      <c r="A72" s="22"/>
      <c r="B72" s="23" t="s">
        <v>190</v>
      </c>
      <c r="C72" s="22"/>
      <c r="D72" s="22"/>
      <c r="E72" s="29" t="n">
        <f aca="false">ROUND(SUM(E52:E59)/SUM(D52:D59)*100,1)</f>
        <v>0</v>
      </c>
      <c r="F72" s="10"/>
      <c r="G72" s="10"/>
      <c r="H72" s="10"/>
      <c r="I72" s="10"/>
    </row>
    <row r="73" customFormat="false" ht="14.25" hidden="false" customHeight="true" outlineLevel="0" collapsed="false">
      <c r="A73" s="22"/>
      <c r="B73" s="23" t="s">
        <v>191</v>
      </c>
      <c r="C73" s="22"/>
      <c r="D73" s="22"/>
      <c r="E73" s="30" t="str">
        <f aca="false">IF(COUNTIF(E63:E70,"FAIL")&gt;0,"FAILED — INVALID",IF(COUNTIF(E63:E70,"PASS")=8,"ALL PASSED","PENDING — fill all gates"))</f>
        <v>PENDING — fill all gates</v>
      </c>
      <c r="F73" s="10"/>
      <c r="G73" s="10"/>
      <c r="H73" s="10"/>
      <c r="I73" s="10"/>
    </row>
    <row r="74" customFormat="false" ht="14.25" hidden="false" customHeight="true" outlineLevel="0" collapsed="false">
      <c r="A74" s="22"/>
      <c r="B74" s="23" t="s">
        <v>192</v>
      </c>
      <c r="C74" s="22"/>
      <c r="D74" s="22"/>
      <c r="E74" s="30" t="str">
        <f aca="false">IF(E72&gt;=90,"A — Excellent",IF(E72&gt;=75,"B — Pass",IF(E72&gt;=60,"C — Conditional","D — Fail")))</f>
        <v>D — Fail</v>
      </c>
      <c r="F74" s="10"/>
      <c r="G74" s="10"/>
      <c r="H74" s="10"/>
      <c r="I74" s="10"/>
    </row>
    <row r="75" customFormat="false" ht="14.25" hidden="false" customHeight="true" outlineLevel="0" collapsed="false">
      <c r="A75" s="22"/>
      <c r="B75" s="23" t="s">
        <v>193</v>
      </c>
      <c r="C75" s="22"/>
      <c r="D75" s="22"/>
      <c r="E75" s="30" t="str">
        <f aca="false">IF(E73="FAILED — INVALID","INVALID — RE-RECORD NARRATION",IF(E73&lt;&gt;"ALL PASSED","PENDING",IF(E72&gt;=75,"FI ACCEPTED — BM decision stands",IF(E72&gt;=60,"SUPPLEMENTARY CALL before CPA","RE-CONDUCT FI"))))</f>
        <v>PENDING</v>
      </c>
      <c r="F75" s="10"/>
      <c r="G75" s="10"/>
      <c r="H75" s="10"/>
      <c r="I75" s="10"/>
    </row>
    <row r="76" customFormat="false" ht="14.2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</row>
  </sheetData>
  <mergeCells count="17">
    <mergeCell ref="A1:I1"/>
    <mergeCell ref="A10:H10"/>
    <mergeCell ref="A15:H15"/>
    <mergeCell ref="A22:H22"/>
    <mergeCell ref="A26:H26"/>
    <mergeCell ref="A31:H31"/>
    <mergeCell ref="A36:H36"/>
    <mergeCell ref="A41:H41"/>
    <mergeCell ref="A45:H45"/>
    <mergeCell ref="B63:D63"/>
    <mergeCell ref="B64:D64"/>
    <mergeCell ref="B65:D65"/>
    <mergeCell ref="B66:D66"/>
    <mergeCell ref="B67:D67"/>
    <mergeCell ref="B68:D68"/>
    <mergeCell ref="B69:D69"/>
    <mergeCell ref="B70:D70"/>
  </mergeCells>
  <dataValidations count="2">
    <dataValidation allowBlank="true" errorStyle="stop" operator="between" showDropDown="false" showErrorMessage="false" showInputMessage="false" sqref="G11:G14 G16:G21 G23:G25 G27:G30 G32:G35 G37:G40 G42:G44 G46:G48" type="list">
      <formula1>"Full,Partial,None,N/A"</formula1>
      <formula2>0</formula2>
    </dataValidation>
    <dataValidation allowBlank="true" errorStyle="stop" operator="between" showDropDown="false" showErrorMessage="false" showInputMessage="false" sqref="E63:E70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.67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17"/>
    <col collapsed="false" customWidth="true" hidden="false" outlineLevel="0" max="7" min="7" style="0" width="20"/>
    <col collapsed="false" customWidth="true" hidden="false" outlineLevel="0" max="8" min="8" style="0" width="42"/>
  </cols>
  <sheetData>
    <row r="1" customFormat="false" ht="24" hidden="false" customHeight="true" outlineLevel="0" collapsed="false">
      <c r="A1" s="31" t="s">
        <v>194</v>
      </c>
      <c r="B1" s="31"/>
      <c r="C1" s="31"/>
      <c r="D1" s="31"/>
      <c r="E1" s="31"/>
      <c r="F1" s="31"/>
      <c r="G1" s="31"/>
      <c r="H1" s="31"/>
    </row>
    <row r="2" customFormat="false" ht="39.75" hidden="false" customHeight="true" outlineLevel="0" collapsed="false">
      <c r="A2" s="32" t="s">
        <v>195</v>
      </c>
      <c r="B2" s="32"/>
      <c r="C2" s="32"/>
      <c r="D2" s="32"/>
      <c r="E2" s="32"/>
      <c r="F2" s="32"/>
      <c r="G2" s="32"/>
      <c r="H2" s="32"/>
    </row>
    <row r="3" customFormat="false" ht="14.25" hidden="false" customHeight="false" outlineLevel="0" collapsed="false">
      <c r="A3" s="33"/>
      <c r="B3" s="33"/>
      <c r="C3" s="33"/>
      <c r="D3" s="33"/>
      <c r="E3" s="33"/>
      <c r="F3" s="33"/>
      <c r="G3" s="33"/>
      <c r="H3" s="33"/>
    </row>
    <row r="4" customFormat="false" ht="15" hidden="false" customHeight="true" outlineLevel="0" collapsed="false">
      <c r="A4" s="5" t="s">
        <v>10</v>
      </c>
      <c r="B4" s="5"/>
      <c r="C4" s="4" t="str">
        <f aca="false">IF(Scorecard!B2="","",Scorecard!B2)</f>
        <v/>
      </c>
      <c r="D4" s="4"/>
      <c r="E4" s="34" t="s">
        <v>196</v>
      </c>
      <c r="F4" s="34"/>
      <c r="G4" s="35" t="n">
        <f aca="false">IF(Scorecard!E72="","",Scorecard!E72)</f>
        <v>0</v>
      </c>
      <c r="H4" s="35"/>
    </row>
    <row r="5" customFormat="false" ht="15" hidden="false" customHeight="true" outlineLevel="0" collapsed="false">
      <c r="A5" s="5" t="s">
        <v>12</v>
      </c>
      <c r="B5" s="5"/>
      <c r="C5" s="4" t="str">
        <f aca="false">IF(Scorecard!B3="","",Scorecard!B3)</f>
        <v/>
      </c>
      <c r="D5" s="4"/>
      <c r="E5" s="34" t="s">
        <v>197</v>
      </c>
      <c r="F5" s="34"/>
      <c r="G5" s="35" t="str">
        <f aca="false">IF(Scorecard!E74="","",Scorecard!E74)</f>
        <v>D — Fail</v>
      </c>
      <c r="H5" s="35"/>
    </row>
    <row r="6" customFormat="false" ht="15" hidden="false" customHeight="true" outlineLevel="0" collapsed="false">
      <c r="A6" s="5" t="s">
        <v>13</v>
      </c>
      <c r="B6" s="5"/>
      <c r="C6" s="4" t="str">
        <f aca="false">IF(Scorecard!B4="","",Scorecard!B4)</f>
        <v/>
      </c>
      <c r="D6" s="4"/>
      <c r="E6" s="34" t="s">
        <v>198</v>
      </c>
      <c r="F6" s="34"/>
      <c r="G6" s="35" t="str">
        <f aca="false">IF(Scorecard!E73="","",Scorecard!E73)</f>
        <v>PENDING — fill all gates</v>
      </c>
      <c r="H6" s="35"/>
    </row>
    <row r="7" customFormat="false" ht="15" hidden="false" customHeight="true" outlineLevel="0" collapsed="false">
      <c r="A7" s="5" t="s">
        <v>14</v>
      </c>
      <c r="B7" s="5"/>
      <c r="C7" s="4" t="str">
        <f aca="false">IF(Scorecard!B5="","",Scorecard!B5)</f>
        <v/>
      </c>
      <c r="D7" s="4"/>
      <c r="E7" s="34" t="s">
        <v>199</v>
      </c>
      <c r="F7" s="34"/>
      <c r="G7" s="35" t="str">
        <f aca="false">IF(Scorecard!E75="","",Scorecard!E75)</f>
        <v>PENDING</v>
      </c>
      <c r="H7" s="35"/>
    </row>
    <row r="8" customFormat="false" ht="15" hidden="false" customHeight="true" outlineLevel="0" collapsed="false">
      <c r="A8" s="5" t="s">
        <v>16</v>
      </c>
      <c r="B8" s="5"/>
      <c r="C8" s="4" t="str">
        <f aca="false">IF(Scorecard!B7="","",Scorecard!B7)</f>
        <v/>
      </c>
      <c r="D8" s="4"/>
      <c r="E8" s="34" t="s">
        <v>15</v>
      </c>
      <c r="F8" s="34"/>
      <c r="G8" s="35" t="str">
        <f aca="false">IF(Scorecard!B6="","",Scorecard!B6)</f>
        <v/>
      </c>
      <c r="H8" s="35"/>
    </row>
    <row r="9" customFormat="false" ht="13.5" hidden="false" customHeight="true" outlineLevel="0" collapsed="false">
      <c r="A9" s="36" t="s">
        <v>200</v>
      </c>
      <c r="B9" s="36"/>
      <c r="C9" s="36"/>
      <c r="D9" s="36"/>
      <c r="E9" s="36"/>
      <c r="F9" s="36"/>
      <c r="G9" s="36"/>
      <c r="H9" s="36"/>
    </row>
    <row r="10" customFormat="false" ht="14.2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</row>
    <row r="11" customFormat="false" ht="18" hidden="false" customHeight="true" outlineLevel="0" collapsed="false">
      <c r="A11" s="37" t="s">
        <v>201</v>
      </c>
      <c r="B11" s="37"/>
      <c r="C11" s="37"/>
      <c r="D11" s="37"/>
      <c r="E11" s="37"/>
      <c r="F11" s="37"/>
      <c r="G11" s="37"/>
      <c r="H11" s="37"/>
    </row>
    <row r="12" customFormat="false" ht="27.75" hidden="false" customHeight="true" outlineLevel="0" collapsed="false">
      <c r="A12" s="32" t="s">
        <v>202</v>
      </c>
      <c r="B12" s="32"/>
      <c r="C12" s="32"/>
      <c r="D12" s="32"/>
      <c r="E12" s="32"/>
      <c r="F12" s="32"/>
      <c r="G12" s="32"/>
      <c r="H12" s="32"/>
    </row>
    <row r="13" customFormat="false" ht="21.75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</row>
    <row r="14" customFormat="false" ht="21.7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21.7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21.7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14.2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</row>
    <row r="18" customFormat="false" ht="18" hidden="false" customHeight="true" outlineLevel="0" collapsed="false">
      <c r="A18" s="37" t="s">
        <v>203</v>
      </c>
      <c r="B18" s="37"/>
      <c r="C18" s="37"/>
      <c r="D18" s="37"/>
      <c r="E18" s="37"/>
      <c r="F18" s="37"/>
      <c r="G18" s="37"/>
      <c r="H18" s="37"/>
    </row>
    <row r="19" customFormat="false" ht="25.5" hidden="false" customHeight="true" outlineLevel="0" collapsed="false">
      <c r="A19" s="32" t="s">
        <v>204</v>
      </c>
      <c r="B19" s="32"/>
      <c r="C19" s="32"/>
      <c r="D19" s="32"/>
      <c r="E19" s="32"/>
      <c r="F19" s="32"/>
      <c r="G19" s="32"/>
      <c r="H19" s="32"/>
    </row>
    <row r="20" customFormat="false" ht="41.25" hidden="false" customHeight="true" outlineLevel="0" collapsed="false">
      <c r="A20" s="38" t="s">
        <v>205</v>
      </c>
      <c r="B20" s="38" t="s">
        <v>206</v>
      </c>
      <c r="C20" s="38" t="s">
        <v>207</v>
      </c>
      <c r="D20" s="38" t="s">
        <v>208</v>
      </c>
      <c r="E20" s="38" t="s">
        <v>209</v>
      </c>
      <c r="F20" s="38" t="s">
        <v>210</v>
      </c>
      <c r="G20" s="38" t="s">
        <v>211</v>
      </c>
      <c r="H20" s="38" t="s">
        <v>212</v>
      </c>
    </row>
    <row r="21" customFormat="false" ht="72" hidden="false" customHeight="true" outlineLevel="0" collapsed="false">
      <c r="A21" s="39" t="n">
        <v>1</v>
      </c>
      <c r="B21" s="20"/>
      <c r="C21" s="20"/>
      <c r="D21" s="20"/>
      <c r="E21" s="40"/>
      <c r="F21" s="40"/>
      <c r="G21" s="20"/>
      <c r="H21" s="20"/>
    </row>
    <row r="22" customFormat="false" ht="57" hidden="false" customHeight="true" outlineLevel="0" collapsed="false">
      <c r="A22" s="39" t="n">
        <v>2</v>
      </c>
      <c r="B22" s="20"/>
      <c r="C22" s="20"/>
      <c r="D22" s="20"/>
      <c r="E22" s="40"/>
      <c r="F22" s="40"/>
      <c r="G22" s="20"/>
      <c r="H22" s="20"/>
    </row>
    <row r="23" customFormat="false" ht="42.75" hidden="false" customHeight="true" outlineLevel="0" collapsed="false">
      <c r="A23" s="39" t="n">
        <v>3</v>
      </c>
      <c r="B23" s="20"/>
      <c r="C23" s="20"/>
      <c r="D23" s="20"/>
      <c r="E23" s="40"/>
      <c r="F23" s="40"/>
      <c r="G23" s="20"/>
      <c r="H23" s="20"/>
    </row>
    <row r="24" customFormat="false" ht="57" hidden="false" customHeight="true" outlineLevel="0" collapsed="false">
      <c r="A24" s="39" t="n">
        <v>4</v>
      </c>
      <c r="B24" s="20"/>
      <c r="C24" s="20"/>
      <c r="D24" s="20"/>
      <c r="E24" s="40"/>
      <c r="F24" s="40"/>
      <c r="G24" s="20"/>
      <c r="H24" s="20"/>
    </row>
    <row r="25" customFormat="false" ht="14.25" hidden="false" customHeight="false" outlineLevel="0" collapsed="false">
      <c r="A25" s="39" t="n">
        <v>5</v>
      </c>
      <c r="B25" s="20"/>
      <c r="C25" s="20"/>
      <c r="D25" s="20"/>
      <c r="E25" s="40"/>
      <c r="F25" s="40"/>
      <c r="G25" s="20"/>
      <c r="H25" s="20"/>
    </row>
    <row r="26" customFormat="false" ht="14.25" hidden="false" customHeight="false" outlineLevel="0" collapsed="false">
      <c r="A26" s="39" t="n">
        <v>6</v>
      </c>
      <c r="B26" s="20"/>
      <c r="C26" s="20"/>
      <c r="D26" s="20"/>
      <c r="E26" s="40"/>
      <c r="F26" s="40"/>
      <c r="G26" s="20"/>
      <c r="H26" s="20"/>
    </row>
    <row r="27" customFormat="false" ht="14.25" hidden="false" customHeight="false" outlineLevel="0" collapsed="false">
      <c r="A27" s="39" t="n">
        <v>7</v>
      </c>
      <c r="B27" s="20"/>
      <c r="C27" s="20"/>
      <c r="D27" s="20"/>
      <c r="E27" s="40"/>
      <c r="F27" s="40"/>
      <c r="G27" s="20"/>
      <c r="H27" s="20"/>
    </row>
    <row r="28" customFormat="false" ht="14.25" hidden="false" customHeight="false" outlineLevel="0" collapsed="false">
      <c r="A28" s="39" t="n">
        <v>8</v>
      </c>
      <c r="B28" s="20"/>
      <c r="C28" s="20"/>
      <c r="D28" s="20"/>
      <c r="E28" s="40"/>
      <c r="F28" s="40"/>
      <c r="G28" s="20"/>
      <c r="H28" s="20"/>
    </row>
    <row r="29" customFormat="false" ht="23.25" hidden="false" customHeight="true" outlineLevel="0" collapsed="false">
      <c r="A29" s="34" t="s">
        <v>213</v>
      </c>
      <c r="B29" s="34"/>
      <c r="C29" s="34"/>
      <c r="D29" s="34"/>
      <c r="E29" s="41" t="n">
        <f aca="false">SUM(E21:E28)</f>
        <v>0</v>
      </c>
      <c r="F29" s="41" t="n">
        <f aca="false">SUM(F21:F28)</f>
        <v>0</v>
      </c>
      <c r="G29" s="42" t="s">
        <v>214</v>
      </c>
      <c r="H29" s="42"/>
    </row>
    <row r="30" customFormat="false" ht="27.75" hidden="false" customHeight="true" outlineLevel="0" collapsed="false">
      <c r="A30" s="5" t="s">
        <v>215</v>
      </c>
      <c r="B30" s="5"/>
      <c r="C30" s="20"/>
      <c r="D30" s="20"/>
      <c r="E30" s="20"/>
      <c r="F30" s="20"/>
      <c r="G30" s="20"/>
      <c r="H30" s="20"/>
    </row>
    <row r="31" customFormat="false" ht="27.75" hidden="false" customHeight="true" outlineLevel="0" collapsed="false">
      <c r="A31" s="5" t="s">
        <v>216</v>
      </c>
      <c r="B31" s="5"/>
      <c r="C31" s="20"/>
      <c r="D31" s="20"/>
      <c r="E31" s="20"/>
      <c r="F31" s="20"/>
      <c r="G31" s="20"/>
      <c r="H31" s="20"/>
    </row>
    <row r="32" customFormat="false" ht="14.2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</row>
    <row r="33" customFormat="false" ht="18" hidden="false" customHeight="true" outlineLevel="0" collapsed="false">
      <c r="A33" s="37" t="s">
        <v>217</v>
      </c>
      <c r="B33" s="37"/>
      <c r="C33" s="37"/>
      <c r="D33" s="37"/>
      <c r="E33" s="37"/>
      <c r="F33" s="37"/>
      <c r="G33" s="37"/>
      <c r="H33" s="37"/>
    </row>
    <row r="34" customFormat="false" ht="25.5" hidden="false" customHeight="true" outlineLevel="0" collapsed="false">
      <c r="A34" s="32" t="s">
        <v>218</v>
      </c>
      <c r="B34" s="32"/>
      <c r="C34" s="32"/>
      <c r="D34" s="32"/>
      <c r="E34" s="32"/>
      <c r="F34" s="32"/>
      <c r="G34" s="32"/>
      <c r="H34" s="32"/>
    </row>
    <row r="35" customFormat="false" ht="30" hidden="false" customHeight="true" outlineLevel="0" collapsed="false">
      <c r="A35" s="38" t="s">
        <v>205</v>
      </c>
      <c r="B35" s="38" t="s">
        <v>219</v>
      </c>
      <c r="C35" s="38" t="s">
        <v>220</v>
      </c>
      <c r="D35" s="38" t="s">
        <v>221</v>
      </c>
      <c r="E35" s="38" t="s">
        <v>222</v>
      </c>
      <c r="F35" s="38" t="s">
        <v>223</v>
      </c>
      <c r="G35" s="38" t="s">
        <v>224</v>
      </c>
      <c r="H35" s="38" t="s">
        <v>225</v>
      </c>
    </row>
    <row r="36" customFormat="false" ht="57" hidden="false" customHeight="true" outlineLevel="0" collapsed="false">
      <c r="A36" s="39" t="n">
        <v>1</v>
      </c>
      <c r="B36" s="20"/>
      <c r="C36" s="20"/>
      <c r="D36" s="20"/>
      <c r="E36" s="40"/>
      <c r="F36" s="40"/>
      <c r="G36" s="20"/>
      <c r="H36" s="20"/>
    </row>
    <row r="37" customFormat="false" ht="14.25" hidden="false" customHeight="false" outlineLevel="0" collapsed="false">
      <c r="A37" s="39" t="n">
        <v>2</v>
      </c>
      <c r="B37" s="20"/>
      <c r="C37" s="20"/>
      <c r="D37" s="20"/>
      <c r="E37" s="40"/>
      <c r="F37" s="40"/>
      <c r="G37" s="20"/>
      <c r="H37" s="20"/>
    </row>
    <row r="38" customFormat="false" ht="14.25" hidden="false" customHeight="false" outlineLevel="0" collapsed="false">
      <c r="A38" s="39" t="n">
        <v>3</v>
      </c>
      <c r="B38" s="20"/>
      <c r="C38" s="20"/>
      <c r="D38" s="20"/>
      <c r="E38" s="40"/>
      <c r="F38" s="40"/>
      <c r="G38" s="20"/>
      <c r="H38" s="20"/>
    </row>
    <row r="39" customFormat="false" ht="14.25" hidden="false" customHeight="false" outlineLevel="0" collapsed="false">
      <c r="A39" s="39" t="n">
        <v>4</v>
      </c>
      <c r="B39" s="20"/>
      <c r="C39" s="20"/>
      <c r="D39" s="20"/>
      <c r="E39" s="40"/>
      <c r="F39" s="40"/>
      <c r="G39" s="20"/>
      <c r="H39" s="20"/>
    </row>
    <row r="40" customFormat="false" ht="14.25" hidden="false" customHeight="false" outlineLevel="0" collapsed="false">
      <c r="A40" s="39" t="n">
        <v>5</v>
      </c>
      <c r="B40" s="20"/>
      <c r="C40" s="20"/>
      <c r="D40" s="20"/>
      <c r="E40" s="40"/>
      <c r="F40" s="40"/>
      <c r="G40" s="20"/>
      <c r="H40" s="20"/>
    </row>
    <row r="41" customFormat="false" ht="14.25" hidden="false" customHeight="false" outlineLevel="0" collapsed="false">
      <c r="A41" s="39" t="n">
        <v>6</v>
      </c>
      <c r="B41" s="20"/>
      <c r="C41" s="20"/>
      <c r="D41" s="20"/>
      <c r="E41" s="40"/>
      <c r="F41" s="40"/>
      <c r="G41" s="20"/>
      <c r="H41" s="20"/>
    </row>
    <row r="42" customFormat="false" ht="14.25" hidden="false" customHeight="false" outlineLevel="0" collapsed="false">
      <c r="A42" s="39" t="n">
        <v>7</v>
      </c>
      <c r="B42" s="20"/>
      <c r="C42" s="20"/>
      <c r="D42" s="20"/>
      <c r="E42" s="40"/>
      <c r="F42" s="40"/>
      <c r="G42" s="20"/>
      <c r="H42" s="20"/>
    </row>
    <row r="43" customFormat="false" ht="14.25" hidden="false" customHeight="false" outlineLevel="0" collapsed="false">
      <c r="A43" s="39" t="n">
        <v>8</v>
      </c>
      <c r="B43" s="20"/>
      <c r="C43" s="20"/>
      <c r="D43" s="20"/>
      <c r="E43" s="40"/>
      <c r="F43" s="40"/>
      <c r="G43" s="20"/>
      <c r="H43" s="20"/>
    </row>
    <row r="44" customFormat="false" ht="15" hidden="false" customHeight="true" outlineLevel="0" collapsed="false">
      <c r="A44" s="34" t="s">
        <v>226</v>
      </c>
      <c r="B44" s="34"/>
      <c r="C44" s="34"/>
      <c r="D44" s="34"/>
      <c r="E44" s="41" t="n">
        <f aca="false">SUM(E36:E43)</f>
        <v>0</v>
      </c>
      <c r="F44" s="41" t="n">
        <f aca="false">SUM(F36:F43)</f>
        <v>0</v>
      </c>
      <c r="G44" s="42" t="s">
        <v>227</v>
      </c>
      <c r="H44" s="42"/>
    </row>
    <row r="45" customFormat="false" ht="27.75" hidden="false" customHeight="true" outlineLevel="0" collapsed="false">
      <c r="A45" s="5" t="s">
        <v>228</v>
      </c>
      <c r="B45" s="5"/>
      <c r="C45" s="20"/>
      <c r="D45" s="20"/>
      <c r="E45" s="20"/>
      <c r="F45" s="20"/>
      <c r="G45" s="20"/>
      <c r="H45" s="20"/>
    </row>
    <row r="46" customFormat="false" ht="27.75" hidden="false" customHeight="true" outlineLevel="0" collapsed="false">
      <c r="A46" s="5" t="s">
        <v>229</v>
      </c>
      <c r="B46" s="5"/>
      <c r="C46" s="20"/>
      <c r="D46" s="20"/>
      <c r="E46" s="20"/>
      <c r="F46" s="20"/>
      <c r="G46" s="20"/>
      <c r="H46" s="20"/>
    </row>
    <row r="47" customFormat="false" ht="14.2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</row>
    <row r="48" customFormat="false" ht="18" hidden="false" customHeight="true" outlineLevel="0" collapsed="false">
      <c r="A48" s="37" t="s">
        <v>230</v>
      </c>
      <c r="B48" s="37"/>
      <c r="C48" s="37"/>
      <c r="D48" s="37"/>
      <c r="E48" s="37"/>
      <c r="F48" s="37"/>
      <c r="G48" s="37"/>
      <c r="H48" s="37"/>
    </row>
    <row r="49" customFormat="false" ht="15.75" hidden="false" customHeight="true" outlineLevel="0" collapsed="false">
      <c r="A49" s="32" t="s">
        <v>231</v>
      </c>
      <c r="B49" s="32"/>
      <c r="C49" s="32"/>
      <c r="D49" s="32"/>
      <c r="E49" s="32"/>
      <c r="F49" s="32"/>
      <c r="G49" s="32"/>
      <c r="H49" s="32"/>
    </row>
    <row r="50" customFormat="false" ht="58.5" hidden="false" customHeight="true" outlineLevel="0" collapsed="false">
      <c r="A50" s="38" t="s">
        <v>205</v>
      </c>
      <c r="B50" s="38" t="s">
        <v>232</v>
      </c>
      <c r="C50" s="38" t="s">
        <v>233</v>
      </c>
      <c r="D50" s="38" t="s">
        <v>234</v>
      </c>
      <c r="E50" s="38" t="s">
        <v>235</v>
      </c>
      <c r="F50" s="38" t="s">
        <v>236</v>
      </c>
      <c r="G50" s="38" t="s">
        <v>237</v>
      </c>
      <c r="H50" s="38" t="s">
        <v>238</v>
      </c>
    </row>
    <row r="51" customFormat="false" ht="72" hidden="false" customHeight="true" outlineLevel="0" collapsed="false">
      <c r="A51" s="39" t="n">
        <v>1</v>
      </c>
      <c r="B51" s="20"/>
      <c r="C51" s="20"/>
      <c r="D51" s="20"/>
      <c r="E51" s="20"/>
      <c r="F51" s="20"/>
      <c r="G51" s="20"/>
      <c r="H51" s="20"/>
    </row>
    <row r="52" customFormat="false" ht="42.75" hidden="false" customHeight="true" outlineLevel="0" collapsed="false">
      <c r="A52" s="39" t="n">
        <v>2</v>
      </c>
      <c r="B52" s="20"/>
      <c r="C52" s="20"/>
      <c r="D52" s="20"/>
      <c r="E52" s="20"/>
      <c r="F52" s="20"/>
      <c r="G52" s="20"/>
      <c r="H52" s="20"/>
    </row>
    <row r="53" customFormat="false" ht="42.75" hidden="false" customHeight="true" outlineLevel="0" collapsed="false">
      <c r="A53" s="39" t="n">
        <v>3</v>
      </c>
      <c r="B53" s="20"/>
      <c r="C53" s="20"/>
      <c r="D53" s="20"/>
      <c r="E53" s="20"/>
      <c r="F53" s="20"/>
      <c r="G53" s="20"/>
      <c r="H53" s="20"/>
    </row>
    <row r="54" customFormat="false" ht="100.5" hidden="false" customHeight="true" outlineLevel="0" collapsed="false">
      <c r="A54" s="39" t="n">
        <v>4</v>
      </c>
      <c r="B54" s="20"/>
      <c r="C54" s="20"/>
      <c r="D54" s="20"/>
      <c r="E54" s="20"/>
      <c r="F54" s="20"/>
      <c r="G54" s="20"/>
      <c r="H54" s="20"/>
    </row>
    <row r="55" customFormat="false" ht="14.25" hidden="false" customHeight="false" outlineLevel="0" collapsed="false">
      <c r="A55" s="39" t="n">
        <v>5</v>
      </c>
      <c r="B55" s="20"/>
      <c r="C55" s="20"/>
      <c r="D55" s="20"/>
      <c r="E55" s="20"/>
      <c r="F55" s="20"/>
      <c r="G55" s="20"/>
      <c r="H55" s="20"/>
    </row>
    <row r="56" customFormat="false" ht="14.25" hidden="false" customHeight="false" outlineLevel="0" collapsed="false">
      <c r="A56" s="39" t="n">
        <v>6</v>
      </c>
      <c r="B56" s="20"/>
      <c r="C56" s="20"/>
      <c r="D56" s="20"/>
      <c r="E56" s="20"/>
      <c r="F56" s="20"/>
      <c r="G56" s="20"/>
      <c r="H56" s="20"/>
    </row>
    <row r="57" customFormat="false" ht="27.75" hidden="false" customHeight="true" outlineLevel="0" collapsed="false">
      <c r="A57" s="5" t="s">
        <v>239</v>
      </c>
      <c r="B57" s="5"/>
      <c r="C57" s="43"/>
      <c r="D57" s="43"/>
      <c r="E57" s="43"/>
      <c r="F57" s="43"/>
      <c r="G57" s="43"/>
      <c r="H57" s="43"/>
    </row>
    <row r="58" customFormat="false" ht="27.75" hidden="false" customHeight="true" outlineLevel="0" collapsed="false">
      <c r="A58" s="5" t="s">
        <v>240</v>
      </c>
      <c r="B58" s="5"/>
      <c r="C58" s="43"/>
      <c r="D58" s="43"/>
      <c r="E58" s="43"/>
      <c r="F58" s="43"/>
      <c r="G58" s="43"/>
      <c r="H58" s="43"/>
    </row>
    <row r="59" customFormat="false" ht="15" hidden="false" customHeight="true" outlineLevel="0" collapsed="false">
      <c r="A59" s="5" t="s">
        <v>241</v>
      </c>
      <c r="B59" s="5"/>
      <c r="C59" s="43"/>
      <c r="D59" s="43"/>
      <c r="E59" s="43"/>
      <c r="F59" s="43"/>
      <c r="G59" s="43"/>
      <c r="H59" s="43"/>
    </row>
    <row r="60" customFormat="false" ht="27.75" hidden="false" customHeight="true" outlineLevel="0" collapsed="false">
      <c r="A60" s="5" t="s">
        <v>242</v>
      </c>
      <c r="B60" s="5"/>
      <c r="C60" s="43"/>
      <c r="D60" s="43"/>
      <c r="E60" s="43"/>
      <c r="F60" s="43"/>
      <c r="G60" s="43"/>
      <c r="H60" s="43"/>
    </row>
    <row r="61" customFormat="false" ht="15" hidden="false" customHeight="true" outlineLevel="0" collapsed="false">
      <c r="A61" s="5" t="s">
        <v>243</v>
      </c>
      <c r="B61" s="5"/>
      <c r="C61" s="43"/>
      <c r="D61" s="43"/>
      <c r="E61" s="43"/>
      <c r="F61" s="43"/>
      <c r="G61" s="43"/>
      <c r="H61" s="43"/>
    </row>
    <row r="62" customFormat="false" ht="41.25" hidden="false" customHeight="true" outlineLevel="0" collapsed="false">
      <c r="A62" s="5" t="s">
        <v>244</v>
      </c>
      <c r="B62" s="5"/>
      <c r="C62" s="43"/>
      <c r="D62" s="43"/>
      <c r="E62" s="43"/>
      <c r="F62" s="43"/>
      <c r="G62" s="43"/>
      <c r="H62" s="43"/>
    </row>
    <row r="63" customFormat="false" ht="14.2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</row>
    <row r="64" customFormat="false" ht="18" hidden="false" customHeight="true" outlineLevel="0" collapsed="false">
      <c r="A64" s="37" t="s">
        <v>245</v>
      </c>
      <c r="B64" s="37"/>
      <c r="C64" s="37"/>
      <c r="D64" s="37"/>
      <c r="E64" s="37"/>
      <c r="F64" s="37"/>
      <c r="G64" s="37"/>
      <c r="H64" s="37"/>
    </row>
    <row r="65" customFormat="false" ht="15" hidden="false" customHeight="true" outlineLevel="0" collapsed="false">
      <c r="A65" s="34" t="s">
        <v>246</v>
      </c>
      <c r="B65" s="34"/>
      <c r="C65" s="34"/>
      <c r="D65" s="34"/>
      <c r="E65" s="44" t="n">
        <f aca="false">F29</f>
        <v>0</v>
      </c>
      <c r="F65" s="44"/>
      <c r="G65" s="33"/>
      <c r="H65" s="33"/>
    </row>
    <row r="66" customFormat="false" ht="15" hidden="false" customHeight="true" outlineLevel="0" collapsed="false">
      <c r="A66" s="34" t="s">
        <v>247</v>
      </c>
      <c r="B66" s="34"/>
      <c r="C66" s="34"/>
      <c r="D66" s="34"/>
      <c r="E66" s="44" t="n">
        <f aca="false">C60</f>
        <v>0</v>
      </c>
      <c r="F66" s="44"/>
      <c r="G66" s="33"/>
      <c r="H66" s="33"/>
    </row>
    <row r="67" customFormat="false" ht="15" hidden="false" customHeight="true" outlineLevel="0" collapsed="false">
      <c r="A67" s="34" t="s">
        <v>248</v>
      </c>
      <c r="B67" s="34"/>
      <c r="C67" s="34"/>
      <c r="D67" s="34"/>
      <c r="E67" s="44" t="n">
        <f aca="false">F44</f>
        <v>0</v>
      </c>
      <c r="F67" s="44"/>
      <c r="G67" s="33"/>
      <c r="H67" s="33"/>
    </row>
    <row r="68" customFormat="false" ht="15" hidden="false" customHeight="true" outlineLevel="0" collapsed="false">
      <c r="A68" s="34" t="s">
        <v>249</v>
      </c>
      <c r="B68" s="34"/>
      <c r="C68" s="34"/>
      <c r="D68" s="34"/>
      <c r="E68" s="44" t="n">
        <f aca="false">E65-E66-E67</f>
        <v>0</v>
      </c>
      <c r="F68" s="44"/>
      <c r="G68" s="33"/>
      <c r="H68" s="33"/>
    </row>
    <row r="69" customFormat="false" ht="15" hidden="false" customHeight="true" outlineLevel="0" collapsed="false">
      <c r="A69" s="5" t="s">
        <v>250</v>
      </c>
      <c r="B69" s="5"/>
      <c r="C69" s="5"/>
      <c r="D69" s="5"/>
      <c r="E69" s="45"/>
      <c r="F69" s="45"/>
      <c r="G69" s="33"/>
      <c r="H69" s="33"/>
    </row>
    <row r="70" customFormat="false" ht="15" hidden="false" customHeight="true" outlineLevel="0" collapsed="false">
      <c r="A70" s="34" t="s">
        <v>251</v>
      </c>
      <c r="B70" s="34"/>
      <c r="C70" s="34"/>
      <c r="D70" s="34"/>
      <c r="E70" s="46" t="str">
        <f aca="false">IF(E69=0,"—",ROUND(E68/E69,1)&amp;"x")</f>
        <v>—</v>
      </c>
      <c r="F70" s="46"/>
      <c r="G70" s="33"/>
      <c r="H70" s="33"/>
    </row>
    <row r="71" customFormat="false" ht="15" hidden="false" customHeight="true" outlineLevel="0" collapsed="false">
      <c r="A71" s="34" t="s">
        <v>252</v>
      </c>
      <c r="B71" s="34"/>
      <c r="C71" s="34"/>
      <c r="D71" s="34"/>
      <c r="E71" s="46" t="str">
        <f aca="false">IF(E65=0,"—",ROUND((E67+E69)/E65*100,0)&amp;"%")</f>
        <v>—</v>
      </c>
      <c r="F71" s="46"/>
      <c r="G71" s="33"/>
      <c r="H71" s="33"/>
    </row>
    <row r="72" customFormat="false" ht="41.25" hidden="false" customHeight="true" outlineLevel="0" collapsed="false">
      <c r="A72" s="5" t="s">
        <v>253</v>
      </c>
      <c r="B72" s="5"/>
      <c r="C72" s="20"/>
      <c r="D72" s="20"/>
      <c r="E72" s="20"/>
      <c r="F72" s="20"/>
      <c r="G72" s="20"/>
      <c r="H72" s="20"/>
    </row>
    <row r="73" customFormat="false" ht="14.2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</row>
    <row r="74" customFormat="false" ht="18" hidden="false" customHeight="true" outlineLevel="0" collapsed="false">
      <c r="A74" s="37" t="s">
        <v>254</v>
      </c>
      <c r="B74" s="37"/>
      <c r="C74" s="37"/>
      <c r="D74" s="37"/>
      <c r="E74" s="37"/>
      <c r="F74" s="37"/>
      <c r="G74" s="37"/>
      <c r="H74" s="37"/>
    </row>
    <row r="75" customFormat="false" ht="30" hidden="false" customHeight="true" outlineLevel="0" collapsed="false">
      <c r="A75" s="5" t="s">
        <v>255</v>
      </c>
      <c r="B75" s="5"/>
      <c r="C75" s="20"/>
      <c r="D75" s="20"/>
      <c r="E75" s="20"/>
      <c r="F75" s="20"/>
      <c r="G75" s="20"/>
      <c r="H75" s="20"/>
    </row>
    <row r="76" customFormat="false" ht="41.25" hidden="false" customHeight="true" outlineLevel="0" collapsed="false">
      <c r="A76" s="5" t="s">
        <v>256</v>
      </c>
      <c r="B76" s="5"/>
      <c r="C76" s="20"/>
      <c r="D76" s="20"/>
      <c r="E76" s="20"/>
      <c r="F76" s="20"/>
      <c r="G76" s="20"/>
      <c r="H76" s="20"/>
    </row>
    <row r="77" customFormat="false" ht="30" hidden="false" customHeight="true" outlineLevel="0" collapsed="false">
      <c r="A77" s="5" t="s">
        <v>257</v>
      </c>
      <c r="B77" s="5"/>
      <c r="C77" s="20"/>
      <c r="D77" s="20"/>
      <c r="E77" s="20"/>
      <c r="F77" s="20"/>
      <c r="G77" s="20"/>
      <c r="H77" s="20"/>
    </row>
    <row r="78" customFormat="false" ht="33" hidden="false" customHeight="true" outlineLevel="0" collapsed="false">
      <c r="A78" s="5" t="s">
        <v>258</v>
      </c>
      <c r="B78" s="5"/>
      <c r="C78" s="20"/>
      <c r="D78" s="20"/>
      <c r="E78" s="20"/>
      <c r="F78" s="20"/>
      <c r="G78" s="20"/>
      <c r="H78" s="20"/>
    </row>
    <row r="79" customFormat="false" ht="35.25" hidden="false" customHeight="true" outlineLevel="0" collapsed="false">
      <c r="A79" s="5" t="s">
        <v>259</v>
      </c>
      <c r="B79" s="5"/>
      <c r="C79" s="20"/>
      <c r="D79" s="20"/>
      <c r="E79" s="20"/>
      <c r="F79" s="20"/>
      <c r="G79" s="20"/>
      <c r="H79" s="20"/>
    </row>
    <row r="80" customFormat="false" ht="47.25" hidden="false" customHeight="true" outlineLevel="0" collapsed="false">
      <c r="A80" s="5" t="s">
        <v>260</v>
      </c>
      <c r="B80" s="5"/>
      <c r="C80" s="20"/>
      <c r="D80" s="20"/>
      <c r="E80" s="20"/>
      <c r="F80" s="20"/>
      <c r="G80" s="20"/>
      <c r="H80" s="20"/>
    </row>
    <row r="81" customFormat="false" ht="47.25" hidden="false" customHeight="true" outlineLevel="0" collapsed="false">
      <c r="A81" s="5" t="s">
        <v>261</v>
      </c>
      <c r="B81" s="5"/>
      <c r="C81" s="20"/>
      <c r="D81" s="20"/>
      <c r="E81" s="20"/>
      <c r="F81" s="20"/>
      <c r="G81" s="20"/>
      <c r="H81" s="20"/>
    </row>
    <row r="82" customFormat="false" ht="19.5" hidden="false" customHeight="true" outlineLevel="0" collapsed="false">
      <c r="A82" s="47" t="s">
        <v>262</v>
      </c>
      <c r="B82" s="47"/>
      <c r="C82" s="48"/>
      <c r="D82" s="48"/>
      <c r="E82" s="36" t="s">
        <v>263</v>
      </c>
      <c r="F82" s="36"/>
      <c r="G82" s="36"/>
      <c r="H82" s="36"/>
    </row>
    <row r="83" customFormat="false" ht="14.2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</row>
    <row r="84" customFormat="false" ht="27.75" hidden="false" customHeight="true" outlineLevel="0" collapsed="false">
      <c r="A84" s="32" t="s">
        <v>264</v>
      </c>
      <c r="B84" s="32"/>
      <c r="C84" s="32"/>
      <c r="D84" s="32"/>
      <c r="E84" s="32"/>
      <c r="F84" s="32"/>
      <c r="G84" s="32"/>
      <c r="H84" s="32"/>
    </row>
  </sheetData>
  <mergeCells count="92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H9"/>
    <mergeCell ref="A11:H11"/>
    <mergeCell ref="A12:H12"/>
    <mergeCell ref="A13:H16"/>
    <mergeCell ref="A18:H18"/>
    <mergeCell ref="A19:H19"/>
    <mergeCell ref="A29:D29"/>
    <mergeCell ref="G29:H29"/>
    <mergeCell ref="A30:B30"/>
    <mergeCell ref="C30:H30"/>
    <mergeCell ref="A31:B31"/>
    <mergeCell ref="C31:H31"/>
    <mergeCell ref="A33:H33"/>
    <mergeCell ref="A34:H34"/>
    <mergeCell ref="A44:D44"/>
    <mergeCell ref="G44:H44"/>
    <mergeCell ref="A45:B45"/>
    <mergeCell ref="C45:H45"/>
    <mergeCell ref="A46:B46"/>
    <mergeCell ref="C46:H46"/>
    <mergeCell ref="A48:H48"/>
    <mergeCell ref="A49:H49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B62"/>
    <mergeCell ref="C62:H62"/>
    <mergeCell ref="A64:H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B72"/>
    <mergeCell ref="C72:H72"/>
    <mergeCell ref="A74:H74"/>
    <mergeCell ref="A75:B75"/>
    <mergeCell ref="C75:H75"/>
    <mergeCell ref="A76:B76"/>
    <mergeCell ref="C76:H76"/>
    <mergeCell ref="A77:B77"/>
    <mergeCell ref="C77:H77"/>
    <mergeCell ref="A78:B78"/>
    <mergeCell ref="C78:H78"/>
    <mergeCell ref="A79:B79"/>
    <mergeCell ref="C79:H79"/>
    <mergeCell ref="A80:B80"/>
    <mergeCell ref="C80:H80"/>
    <mergeCell ref="A81:B81"/>
    <mergeCell ref="C81:H81"/>
    <mergeCell ref="A82:B82"/>
    <mergeCell ref="C82:D82"/>
    <mergeCell ref="E82:H82"/>
    <mergeCell ref="A84:H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7.22"/>
    <col collapsed="false" customWidth="true" hidden="false" outlineLevel="0" max="2" min="2" style="0" width="95"/>
    <col collapsed="false" customWidth="true" hidden="false" outlineLevel="0" max="3" min="3" style="0" width="12"/>
  </cols>
  <sheetData>
    <row r="1" customFormat="false" ht="17.25" hidden="false" customHeight="true" outlineLevel="0" collapsed="false">
      <c r="A1" s="7" t="s">
        <v>265</v>
      </c>
      <c r="B1" s="7"/>
      <c r="C1" s="7"/>
    </row>
    <row r="2" customFormat="false" ht="27" hidden="false" customHeight="true" outlineLevel="0" collapsed="false">
      <c r="A2" s="49" t="s">
        <v>266</v>
      </c>
      <c r="B2" s="49"/>
      <c r="C2" s="49"/>
    </row>
    <row r="3" customFormat="false" ht="14.25" hidden="false" customHeight="true" outlineLevel="0" collapsed="false">
      <c r="A3" s="10"/>
      <c r="B3" s="10"/>
      <c r="C3" s="10"/>
    </row>
    <row r="4" customFormat="false" ht="14.25" hidden="false" customHeight="true" outlineLevel="0" collapsed="false">
      <c r="A4" s="21" t="s">
        <v>267</v>
      </c>
      <c r="B4" s="8" t="s">
        <v>268</v>
      </c>
      <c r="C4" s="50" t="n">
        <f aca="false">Scorecard!E72</f>
        <v>0</v>
      </c>
    </row>
    <row r="5" customFormat="false" ht="14.25" hidden="false" customHeight="true" outlineLevel="0" collapsed="false">
      <c r="A5" s="22"/>
      <c r="B5" s="51" t="s">
        <v>269</v>
      </c>
      <c r="C5" s="29" t="n">
        <f aca="false">IF(Scorecard!E72="","",MAX(0,ROUND(90-Scorecard!E72,1)))</f>
        <v>90</v>
      </c>
    </row>
    <row r="6" customFormat="false" ht="14.25" hidden="false" customHeight="true" outlineLevel="0" collapsed="false">
      <c r="A6" s="22"/>
      <c r="B6" s="22"/>
      <c r="C6" s="22"/>
    </row>
    <row r="7" customFormat="false" ht="14.25" hidden="false" customHeight="true" outlineLevel="0" collapsed="false">
      <c r="A7" s="52" t="s">
        <v>270</v>
      </c>
      <c r="B7" s="8" t="s">
        <v>271</v>
      </c>
      <c r="C7" s="50" t="s">
        <v>272</v>
      </c>
    </row>
    <row r="8" customFormat="false" ht="14.25" hidden="false" customHeight="true" outlineLevel="0" collapsed="false">
      <c r="A8" s="8" t="str">
        <f aca="false">Scorecard!A63</f>
        <v>K1</v>
      </c>
      <c r="B8" s="4" t="str">
        <f aca="false">IF(Scorecard!E63="FAIL","GATE FAILED — "&amp;Scorecard!B63,"—")</f>
        <v>—</v>
      </c>
      <c r="C8" s="25" t="n">
        <f aca="false">Scorecard!E63</f>
        <v>0</v>
      </c>
    </row>
    <row r="9" customFormat="false" ht="14.25" hidden="false" customHeight="true" outlineLevel="0" collapsed="false">
      <c r="A9" s="8" t="str">
        <f aca="false">Scorecard!A64</f>
        <v>K2</v>
      </c>
      <c r="B9" s="4" t="str">
        <f aca="false">IF(Scorecard!E64="FAIL","GATE FAILED — "&amp;Scorecard!B64,"—")</f>
        <v>—</v>
      </c>
      <c r="C9" s="25" t="n">
        <f aca="false">Scorecard!E64</f>
        <v>0</v>
      </c>
    </row>
    <row r="10" customFormat="false" ht="14.25" hidden="false" customHeight="true" outlineLevel="0" collapsed="false">
      <c r="A10" s="8" t="str">
        <f aca="false">Scorecard!A65</f>
        <v>K3</v>
      </c>
      <c r="B10" s="4" t="str">
        <f aca="false">IF(Scorecard!E65="FAIL","GATE FAILED — "&amp;Scorecard!B65,"—")</f>
        <v>—</v>
      </c>
      <c r="C10" s="25" t="n">
        <f aca="false">Scorecard!E65</f>
        <v>0</v>
      </c>
    </row>
    <row r="11" customFormat="false" ht="14.25" hidden="false" customHeight="true" outlineLevel="0" collapsed="false">
      <c r="A11" s="8" t="str">
        <f aca="false">Scorecard!A66</f>
        <v>K4</v>
      </c>
      <c r="B11" s="4" t="str">
        <f aca="false">IF(Scorecard!E66="FAIL","GATE FAILED — "&amp;Scorecard!B66,"—")</f>
        <v>—</v>
      </c>
      <c r="C11" s="25" t="n">
        <f aca="false">Scorecard!E66</f>
        <v>0</v>
      </c>
    </row>
    <row r="12" customFormat="false" ht="14.25" hidden="false" customHeight="true" outlineLevel="0" collapsed="false">
      <c r="A12" s="8" t="str">
        <f aca="false">Scorecard!A67</f>
        <v>K5</v>
      </c>
      <c r="B12" s="4" t="str">
        <f aca="false">IF(Scorecard!E67="FAIL","GATE FAILED — "&amp;Scorecard!B67,"—")</f>
        <v>—</v>
      </c>
      <c r="C12" s="25" t="n">
        <f aca="false">Scorecard!E67</f>
        <v>0</v>
      </c>
    </row>
    <row r="13" customFormat="false" ht="14.25" hidden="false" customHeight="true" outlineLevel="0" collapsed="false">
      <c r="A13" s="8" t="str">
        <f aca="false">Scorecard!A68</f>
        <v>K6</v>
      </c>
      <c r="B13" s="4" t="str">
        <f aca="false">IF(Scorecard!E68="FAIL","GATE FAILED — "&amp;Scorecard!B68,"—")</f>
        <v>—</v>
      </c>
      <c r="C13" s="25" t="n">
        <f aca="false">Scorecard!E68</f>
        <v>0</v>
      </c>
    </row>
    <row r="14" customFormat="false" ht="14.25" hidden="false" customHeight="true" outlineLevel="0" collapsed="false">
      <c r="A14" s="8" t="str">
        <f aca="false">Scorecard!A69</f>
        <v>K7</v>
      </c>
      <c r="B14" s="4" t="str">
        <f aca="false">IF(Scorecard!E69="FAIL","GATE FAILED — "&amp;Scorecard!B69,"—")</f>
        <v>—</v>
      </c>
      <c r="C14" s="25" t="n">
        <f aca="false">Scorecard!E69</f>
        <v>0</v>
      </c>
    </row>
    <row r="15" customFormat="false" ht="14.25" hidden="false" customHeight="true" outlineLevel="0" collapsed="false">
      <c r="A15" s="8" t="str">
        <f aca="false">Scorecard!A70</f>
        <v>K8</v>
      </c>
      <c r="B15" s="4" t="str">
        <f aca="false">IF(Scorecard!E70="FAIL","GATE FAILED — "&amp;Scorecard!B70,"—")</f>
        <v>—</v>
      </c>
      <c r="C15" s="25" t="n">
        <f aca="false">Scorecard!E70</f>
        <v>0</v>
      </c>
    </row>
    <row r="16" customFormat="false" ht="14.25" hidden="false" customHeight="true" outlineLevel="0" collapsed="false">
      <c r="A16" s="10"/>
      <c r="B16" s="10"/>
      <c r="C16" s="10"/>
    </row>
    <row r="17" customFormat="false" ht="27.75" hidden="false" customHeight="true" outlineLevel="0" collapsed="false">
      <c r="A17" s="11" t="s">
        <v>273</v>
      </c>
      <c r="B17" s="11" t="s">
        <v>274</v>
      </c>
      <c r="C17" s="11" t="s">
        <v>275</v>
      </c>
    </row>
    <row r="18" customFormat="false" ht="14.25" hidden="false" customHeight="true" outlineLevel="0" collapsed="false">
      <c r="A18" s="8" t="str">
        <f aca="false">Scorecard!A11</f>
        <v>A1</v>
      </c>
      <c r="B18" s="4" t="str">
        <f aca="false">IF(Scorecard!G11="None","NOT NARRATED — "&amp;Scorecard!B11&amp;" | Cover: "&amp;Scorecard!C11,IF(Scorecard!G11="Partial","INCOMPLETE — "&amp;Scorecard!B11&amp;" | Asked but not fully probed/confirmed.",""))</f>
        <v/>
      </c>
      <c r="C18" s="25" t="str">
        <f aca="false">IF(Scorecard!G11="None",Scorecard!F11,IF(Scorecard!G11="Partial",Scorecard!F11/2,""))</f>
        <v/>
      </c>
    </row>
    <row r="19" customFormat="false" ht="14.25" hidden="false" customHeight="true" outlineLevel="0" collapsed="false">
      <c r="A19" s="8" t="str">
        <f aca="false">Scorecard!A12</f>
        <v>A2</v>
      </c>
      <c r="B19" s="4" t="str">
        <f aca="false">IF(Scorecard!G12="None","NOT NARRATED — "&amp;Scorecard!B12&amp;" | Cover: "&amp;Scorecard!C12,IF(Scorecard!G12="Partial","INCOMPLETE — "&amp;Scorecard!B12&amp;" | Asked but not fully probed/confirmed.",""))</f>
        <v/>
      </c>
      <c r="C19" s="25" t="str">
        <f aca="false">IF(Scorecard!G12="None",Scorecard!F12,IF(Scorecard!G12="Partial",Scorecard!F12/2,""))</f>
        <v/>
      </c>
    </row>
    <row r="20" customFormat="false" ht="14.25" hidden="false" customHeight="true" outlineLevel="0" collapsed="false">
      <c r="A20" s="8" t="str">
        <f aca="false">Scorecard!A13</f>
        <v>A3</v>
      </c>
      <c r="B20" s="4" t="str">
        <f aca="false">IF(Scorecard!G13="None","NOT NARRATED — "&amp;Scorecard!B13&amp;" | Cover: "&amp;Scorecard!C13,IF(Scorecard!G13="Partial","INCOMPLETE — "&amp;Scorecard!B13&amp;" | Asked but not fully probed/confirmed.",""))</f>
        <v/>
      </c>
      <c r="C20" s="25" t="str">
        <f aca="false">IF(Scorecard!G13="None",Scorecard!F13,IF(Scorecard!G13="Partial",Scorecard!F13/2,""))</f>
        <v/>
      </c>
    </row>
    <row r="21" customFormat="false" ht="14.25" hidden="false" customHeight="true" outlineLevel="0" collapsed="false">
      <c r="A21" s="8" t="str">
        <f aca="false">Scorecard!A14</f>
        <v>A4</v>
      </c>
      <c r="B21" s="4" t="str">
        <f aca="false">IF(Scorecard!G14="None","NOT NARRATED — "&amp;Scorecard!B14&amp;" | Cover: "&amp;Scorecard!C14,IF(Scorecard!G14="Partial","INCOMPLETE — "&amp;Scorecard!B14&amp;" | Asked but not fully probed/confirmed.",""))</f>
        <v/>
      </c>
      <c r="C21" s="25" t="str">
        <f aca="false">IF(Scorecard!G14="None",Scorecard!F14,IF(Scorecard!G14="Partial",Scorecard!F14/2,""))</f>
        <v/>
      </c>
    </row>
    <row r="22" customFormat="false" ht="14.25" hidden="false" customHeight="true" outlineLevel="0" collapsed="false">
      <c r="A22" s="8" t="str">
        <f aca="false">Scorecard!A16</f>
        <v>B1</v>
      </c>
      <c r="B22" s="4" t="str">
        <f aca="false">IF(Scorecard!G16="None","NOT NARRATED — "&amp;Scorecard!B16&amp;" | Cover: "&amp;Scorecard!C16,IF(Scorecard!G16="Partial","INCOMPLETE — "&amp;Scorecard!B16&amp;" | Asked but not fully probed/confirmed.",""))</f>
        <v/>
      </c>
      <c r="C22" s="25" t="str">
        <f aca="false">IF(Scorecard!G16="None",Scorecard!F16,IF(Scorecard!G16="Partial",Scorecard!F16/2,""))</f>
        <v/>
      </c>
    </row>
    <row r="23" customFormat="false" ht="14.25" hidden="false" customHeight="true" outlineLevel="0" collapsed="false">
      <c r="A23" s="8" t="str">
        <f aca="false">Scorecard!A17</f>
        <v>B2</v>
      </c>
      <c r="B23" s="4" t="str">
        <f aca="false">IF(Scorecard!G17="None","NOT NARRATED — "&amp;Scorecard!B17&amp;" | Cover: "&amp;Scorecard!C17,IF(Scorecard!G17="Partial","INCOMPLETE — "&amp;Scorecard!B17&amp;" | Asked but not fully probed/confirmed.",""))</f>
        <v/>
      </c>
      <c r="C23" s="25" t="str">
        <f aca="false">IF(Scorecard!G17="None",Scorecard!F17,IF(Scorecard!G17="Partial",Scorecard!F17/2,""))</f>
        <v/>
      </c>
    </row>
    <row r="24" customFormat="false" ht="14.25" hidden="false" customHeight="true" outlineLevel="0" collapsed="false">
      <c r="A24" s="8" t="str">
        <f aca="false">Scorecard!A18</f>
        <v>B3</v>
      </c>
      <c r="B24" s="4" t="str">
        <f aca="false">IF(Scorecard!G18="None","NOT NARRATED — "&amp;Scorecard!B18&amp;" | Cover: "&amp;Scorecard!C18,IF(Scorecard!G18="Partial","INCOMPLETE — "&amp;Scorecard!B18&amp;" | Asked but not fully probed/confirmed.",""))</f>
        <v/>
      </c>
      <c r="C24" s="25" t="str">
        <f aca="false">IF(Scorecard!G18="None",Scorecard!F18,IF(Scorecard!G18="Partial",Scorecard!F18/2,""))</f>
        <v/>
      </c>
    </row>
    <row r="25" customFormat="false" ht="14.25" hidden="false" customHeight="true" outlineLevel="0" collapsed="false">
      <c r="A25" s="8" t="str">
        <f aca="false">Scorecard!A19</f>
        <v>B4</v>
      </c>
      <c r="B25" s="4" t="str">
        <f aca="false">IF(Scorecard!G19="None","NOT NARRATED — "&amp;Scorecard!B19&amp;" | Cover: "&amp;Scorecard!C19,IF(Scorecard!G19="Partial","INCOMPLETE — "&amp;Scorecard!B19&amp;" | Asked but not fully probed/confirmed.",""))</f>
        <v/>
      </c>
      <c r="C25" s="25" t="str">
        <f aca="false">IF(Scorecard!G19="None",Scorecard!F19,IF(Scorecard!G19="Partial",Scorecard!F19/2,""))</f>
        <v/>
      </c>
    </row>
    <row r="26" customFormat="false" ht="14.25" hidden="false" customHeight="true" outlineLevel="0" collapsed="false">
      <c r="A26" s="8" t="str">
        <f aca="false">Scorecard!A20</f>
        <v>B5</v>
      </c>
      <c r="B26" s="4" t="str">
        <f aca="false">IF(Scorecard!G20="None","NOT NARRATED — "&amp;Scorecard!B20&amp;" | Cover: "&amp;Scorecard!C20,IF(Scorecard!G20="Partial","INCOMPLETE — "&amp;Scorecard!B20&amp;" | Asked but not fully probed/confirmed.",""))</f>
        <v/>
      </c>
      <c r="C26" s="25" t="str">
        <f aca="false">IF(Scorecard!G20="None",Scorecard!F20,IF(Scorecard!G20="Partial",Scorecard!F20/2,""))</f>
        <v/>
      </c>
    </row>
    <row r="27" customFormat="false" ht="14.25" hidden="false" customHeight="true" outlineLevel="0" collapsed="false">
      <c r="A27" s="8" t="str">
        <f aca="false">Scorecard!A21</f>
        <v>B6</v>
      </c>
      <c r="B27" s="4" t="str">
        <f aca="false">IF(Scorecard!G21="None","NOT NARRATED — "&amp;Scorecard!B21&amp;" | Cover: "&amp;Scorecard!C21,IF(Scorecard!G21="Partial","INCOMPLETE — "&amp;Scorecard!B21&amp;" | Asked but not fully probed/confirmed.",""))</f>
        <v/>
      </c>
      <c r="C27" s="25" t="str">
        <f aca="false">IF(Scorecard!G21="None",Scorecard!F21,IF(Scorecard!G21="Partial",Scorecard!F21/2,""))</f>
        <v/>
      </c>
    </row>
    <row r="28" customFormat="false" ht="14.25" hidden="false" customHeight="true" outlineLevel="0" collapsed="false">
      <c r="A28" s="8" t="str">
        <f aca="false">Scorecard!A23</f>
        <v>C1</v>
      </c>
      <c r="B28" s="4" t="str">
        <f aca="false">IF(Scorecard!G23="None","NOT NARRATED — "&amp;Scorecard!B23&amp;" | Cover: "&amp;Scorecard!C23,IF(Scorecard!G23="Partial","INCOMPLETE — "&amp;Scorecard!B23&amp;" | Asked but not fully probed/confirmed.",""))</f>
        <v/>
      </c>
      <c r="C28" s="25" t="str">
        <f aca="false">IF(Scorecard!G23="None",Scorecard!F23,IF(Scorecard!G23="Partial",Scorecard!F23/2,""))</f>
        <v/>
      </c>
    </row>
    <row r="29" customFormat="false" ht="14.25" hidden="false" customHeight="true" outlineLevel="0" collapsed="false">
      <c r="A29" s="8" t="str">
        <f aca="false">Scorecard!A24</f>
        <v>C2</v>
      </c>
      <c r="B29" s="4" t="str">
        <f aca="false">IF(Scorecard!G24="None","NOT NARRATED — "&amp;Scorecard!B24&amp;" | Cover: "&amp;Scorecard!C24,IF(Scorecard!G24="Partial","INCOMPLETE — "&amp;Scorecard!B24&amp;" | Asked but not fully probed/confirmed.",""))</f>
        <v/>
      </c>
      <c r="C29" s="25" t="str">
        <f aca="false">IF(Scorecard!G24="None",Scorecard!F24,IF(Scorecard!G24="Partial",Scorecard!F24/2,""))</f>
        <v/>
      </c>
    </row>
    <row r="30" customFormat="false" ht="14.25" hidden="false" customHeight="true" outlineLevel="0" collapsed="false">
      <c r="A30" s="8" t="str">
        <f aca="false">Scorecard!A25</f>
        <v>C3</v>
      </c>
      <c r="B30" s="4" t="str">
        <f aca="false">IF(Scorecard!G25="None","NOT NARRATED — "&amp;Scorecard!B25&amp;" | Cover: "&amp;Scorecard!C25,IF(Scorecard!G25="Partial","INCOMPLETE — "&amp;Scorecard!B25&amp;" | Asked but not fully probed/confirmed.",""))</f>
        <v/>
      </c>
      <c r="C30" s="25" t="str">
        <f aca="false">IF(Scorecard!G25="None",Scorecard!F25,IF(Scorecard!G25="Partial",Scorecard!F25/2,""))</f>
        <v/>
      </c>
    </row>
    <row r="31" customFormat="false" ht="14.25" hidden="false" customHeight="true" outlineLevel="0" collapsed="false">
      <c r="A31" s="8" t="str">
        <f aca="false">Scorecard!A27</f>
        <v>D1</v>
      </c>
      <c r="B31" s="4" t="str">
        <f aca="false">IF(Scorecard!G27="None","NOT NARRATED — "&amp;Scorecard!B27&amp;" | Cover: "&amp;Scorecard!C27,IF(Scorecard!G27="Partial","INCOMPLETE — "&amp;Scorecard!B27&amp;" | Asked but not fully probed/confirmed.",""))</f>
        <v/>
      </c>
      <c r="C31" s="25" t="str">
        <f aca="false">IF(Scorecard!G27="None",Scorecard!F27,IF(Scorecard!G27="Partial",Scorecard!F27/2,""))</f>
        <v/>
      </c>
    </row>
    <row r="32" customFormat="false" ht="14.25" hidden="false" customHeight="true" outlineLevel="0" collapsed="false">
      <c r="A32" s="8" t="str">
        <f aca="false">Scorecard!A28</f>
        <v>D2</v>
      </c>
      <c r="B32" s="4" t="str">
        <f aca="false">IF(Scorecard!G28="None","NOT NARRATED — "&amp;Scorecard!B28&amp;" | Cover: "&amp;Scorecard!C28,IF(Scorecard!G28="Partial","INCOMPLETE — "&amp;Scorecard!B28&amp;" | Asked but not fully probed/confirmed.",""))</f>
        <v/>
      </c>
      <c r="C32" s="25" t="str">
        <f aca="false">IF(Scorecard!G28="None",Scorecard!F28,IF(Scorecard!G28="Partial",Scorecard!F28/2,""))</f>
        <v/>
      </c>
    </row>
    <row r="33" customFormat="false" ht="14.25" hidden="false" customHeight="true" outlineLevel="0" collapsed="false">
      <c r="A33" s="8" t="str">
        <f aca="false">Scorecard!A29</f>
        <v>D3</v>
      </c>
      <c r="B33" s="4" t="str">
        <f aca="false">IF(Scorecard!G29="None","NOT NARRATED — "&amp;Scorecard!B29&amp;" | Cover: "&amp;Scorecard!C29,IF(Scorecard!G29="Partial","INCOMPLETE — "&amp;Scorecard!B29&amp;" | Asked but not fully probed/confirmed.",""))</f>
        <v/>
      </c>
      <c r="C33" s="25" t="str">
        <f aca="false">IF(Scorecard!G29="None",Scorecard!F29,IF(Scorecard!G29="Partial",Scorecard!F29/2,""))</f>
        <v/>
      </c>
    </row>
    <row r="34" customFormat="false" ht="14.25" hidden="false" customHeight="true" outlineLevel="0" collapsed="false">
      <c r="A34" s="8" t="str">
        <f aca="false">Scorecard!A30</f>
        <v>D4</v>
      </c>
      <c r="B34" s="4" t="str">
        <f aca="false">IF(Scorecard!G30="None","NOT NARRATED — "&amp;Scorecard!B30&amp;" | Cover: "&amp;Scorecard!C30,IF(Scorecard!G30="Partial","INCOMPLETE — "&amp;Scorecard!B30&amp;" | Asked but not fully probed/confirmed.",""))</f>
        <v/>
      </c>
      <c r="C34" s="25" t="str">
        <f aca="false">IF(Scorecard!G30="None",Scorecard!F30,IF(Scorecard!G30="Partial",Scorecard!F30/2,""))</f>
        <v/>
      </c>
    </row>
    <row r="35" customFormat="false" ht="14.25" hidden="false" customHeight="true" outlineLevel="0" collapsed="false">
      <c r="A35" s="8" t="str">
        <f aca="false">Scorecard!A32</f>
        <v>E1</v>
      </c>
      <c r="B35" s="4" t="str">
        <f aca="false">IF(Scorecard!G32="None","NOT NARRATED — "&amp;Scorecard!B32&amp;" | Cover: "&amp;Scorecard!C32,IF(Scorecard!G32="Partial","INCOMPLETE — "&amp;Scorecard!B32&amp;" | Asked but not fully probed/confirmed.",""))</f>
        <v/>
      </c>
      <c r="C35" s="25" t="str">
        <f aca="false">IF(Scorecard!G32="None",Scorecard!F32,IF(Scorecard!G32="Partial",Scorecard!F32/2,""))</f>
        <v/>
      </c>
    </row>
    <row r="36" customFormat="false" ht="14.25" hidden="false" customHeight="true" outlineLevel="0" collapsed="false">
      <c r="A36" s="8" t="str">
        <f aca="false">Scorecard!A33</f>
        <v>E2</v>
      </c>
      <c r="B36" s="4" t="str">
        <f aca="false">IF(Scorecard!G33="None","NOT NARRATED — "&amp;Scorecard!B33&amp;" | Cover: "&amp;Scorecard!C33,IF(Scorecard!G33="Partial","INCOMPLETE — "&amp;Scorecard!B33&amp;" | Asked but not fully probed/confirmed.",""))</f>
        <v/>
      </c>
      <c r="C36" s="25" t="str">
        <f aca="false">IF(Scorecard!G33="None",Scorecard!F33,IF(Scorecard!G33="Partial",Scorecard!F33/2,""))</f>
        <v/>
      </c>
    </row>
    <row r="37" customFormat="false" ht="14.25" hidden="false" customHeight="true" outlineLevel="0" collapsed="false">
      <c r="A37" s="8" t="str">
        <f aca="false">Scorecard!A34</f>
        <v>E3</v>
      </c>
      <c r="B37" s="4" t="str">
        <f aca="false">IF(Scorecard!G34="None","NOT NARRATED — "&amp;Scorecard!B34&amp;" | Cover: "&amp;Scorecard!C34,IF(Scorecard!G34="Partial","INCOMPLETE — "&amp;Scorecard!B34&amp;" | Asked but not fully probed/confirmed.",""))</f>
        <v/>
      </c>
      <c r="C37" s="25" t="str">
        <f aca="false">IF(Scorecard!G34="None",Scorecard!F34,IF(Scorecard!G34="Partial",Scorecard!F34/2,""))</f>
        <v/>
      </c>
    </row>
    <row r="38" customFormat="false" ht="14.25" hidden="false" customHeight="true" outlineLevel="0" collapsed="false">
      <c r="A38" s="8" t="str">
        <f aca="false">Scorecard!A35</f>
        <v>E4</v>
      </c>
      <c r="B38" s="4" t="str">
        <f aca="false">IF(Scorecard!G35="None","NOT NARRATED — "&amp;Scorecard!B35&amp;" | Cover: "&amp;Scorecard!C35,IF(Scorecard!G35="Partial","INCOMPLETE — "&amp;Scorecard!B35&amp;" | Asked but not fully probed/confirmed.",""))</f>
        <v/>
      </c>
      <c r="C38" s="25" t="str">
        <f aca="false">IF(Scorecard!G35="None",Scorecard!F35,IF(Scorecard!G35="Partial",Scorecard!F35/2,""))</f>
        <v/>
      </c>
    </row>
    <row r="39" customFormat="false" ht="14.25" hidden="false" customHeight="true" outlineLevel="0" collapsed="false">
      <c r="A39" s="8" t="str">
        <f aca="false">Scorecard!A37</f>
        <v>F1</v>
      </c>
      <c r="B39" s="4" t="str">
        <f aca="false">IF(Scorecard!G37="None","NOT NARRATED — "&amp;Scorecard!B37&amp;" | Cover: "&amp;Scorecard!C37,IF(Scorecard!G37="Partial","INCOMPLETE — "&amp;Scorecard!B37&amp;" | Asked but not fully probed/confirmed.",""))</f>
        <v/>
      </c>
      <c r="C39" s="25" t="str">
        <f aca="false">IF(Scorecard!G37="None",Scorecard!F37,IF(Scorecard!G37="Partial",Scorecard!F37/2,""))</f>
        <v/>
      </c>
    </row>
    <row r="40" customFormat="false" ht="14.25" hidden="false" customHeight="true" outlineLevel="0" collapsed="false">
      <c r="A40" s="8" t="str">
        <f aca="false">Scorecard!A38</f>
        <v>F2</v>
      </c>
      <c r="B40" s="4" t="str">
        <f aca="false">IF(Scorecard!G38="None","NOT NARRATED — "&amp;Scorecard!B38&amp;" | Cover: "&amp;Scorecard!C38,IF(Scorecard!G38="Partial","INCOMPLETE — "&amp;Scorecard!B38&amp;" | Asked but not fully probed/confirmed.",""))</f>
        <v/>
      </c>
      <c r="C40" s="25" t="str">
        <f aca="false">IF(Scorecard!G38="None",Scorecard!F38,IF(Scorecard!G38="Partial",Scorecard!F38/2,""))</f>
        <v/>
      </c>
    </row>
    <row r="41" customFormat="false" ht="14.25" hidden="false" customHeight="true" outlineLevel="0" collapsed="false">
      <c r="A41" s="8" t="str">
        <f aca="false">Scorecard!A39</f>
        <v>F3</v>
      </c>
      <c r="B41" s="4" t="str">
        <f aca="false">IF(Scorecard!G39="None","NOT NARRATED — "&amp;Scorecard!B39&amp;" | Cover: "&amp;Scorecard!C39,IF(Scorecard!G39="Partial","INCOMPLETE — "&amp;Scorecard!B39&amp;" | Asked but not fully probed/confirmed.",""))</f>
        <v/>
      </c>
      <c r="C41" s="25" t="str">
        <f aca="false">IF(Scorecard!G39="None",Scorecard!F39,IF(Scorecard!G39="Partial",Scorecard!F39/2,""))</f>
        <v/>
      </c>
    </row>
    <row r="42" customFormat="false" ht="14.25" hidden="false" customHeight="true" outlineLevel="0" collapsed="false">
      <c r="A42" s="8" t="str">
        <f aca="false">Scorecard!A40</f>
        <v>F4</v>
      </c>
      <c r="B42" s="4" t="str">
        <f aca="false">IF(Scorecard!G40="None","NOT NARRATED — "&amp;Scorecard!B40&amp;" | Cover: "&amp;Scorecard!C40,IF(Scorecard!G40="Partial","INCOMPLETE — "&amp;Scorecard!B40&amp;" | Asked but not fully probed/confirmed.",""))</f>
        <v/>
      </c>
      <c r="C42" s="25" t="str">
        <f aca="false">IF(Scorecard!G40="None",Scorecard!F40,IF(Scorecard!G40="Partial",Scorecard!F40/2,""))</f>
        <v/>
      </c>
    </row>
    <row r="43" customFormat="false" ht="14.25" hidden="false" customHeight="true" outlineLevel="0" collapsed="false">
      <c r="A43" s="8" t="str">
        <f aca="false">Scorecard!A42</f>
        <v>G1</v>
      </c>
      <c r="B43" s="4" t="str">
        <f aca="false">IF(Scorecard!G42="None","NOT NARRATED — "&amp;Scorecard!B42&amp;" | Cover: "&amp;Scorecard!C42,IF(Scorecard!G42="Partial","INCOMPLETE — "&amp;Scorecard!B42&amp;" | Asked but not fully probed/confirmed.",""))</f>
        <v/>
      </c>
      <c r="C43" s="25" t="str">
        <f aca="false">IF(Scorecard!G42="None",Scorecard!F42,IF(Scorecard!G42="Partial",Scorecard!F42/2,""))</f>
        <v/>
      </c>
    </row>
    <row r="44" customFormat="false" ht="14.25" hidden="false" customHeight="true" outlineLevel="0" collapsed="false">
      <c r="A44" s="8" t="str">
        <f aca="false">Scorecard!A43</f>
        <v>G2</v>
      </c>
      <c r="B44" s="4" t="str">
        <f aca="false">IF(Scorecard!G43="None","NOT NARRATED — "&amp;Scorecard!B43&amp;" | Cover: "&amp;Scorecard!C43,IF(Scorecard!G43="Partial","INCOMPLETE — "&amp;Scorecard!B43&amp;" | Asked but not fully probed/confirmed.",""))</f>
        <v/>
      </c>
      <c r="C44" s="25" t="str">
        <f aca="false">IF(Scorecard!G43="None",Scorecard!F43,IF(Scorecard!G43="Partial",Scorecard!F43/2,""))</f>
        <v/>
      </c>
    </row>
    <row r="45" customFormat="false" ht="14.25" hidden="false" customHeight="true" outlineLevel="0" collapsed="false">
      <c r="A45" s="8" t="str">
        <f aca="false">Scorecard!A44</f>
        <v>G3</v>
      </c>
      <c r="B45" s="4" t="str">
        <f aca="false">IF(Scorecard!G44="None","NOT NARRATED — "&amp;Scorecard!B44&amp;" | Cover: "&amp;Scorecard!C44,IF(Scorecard!G44="Partial","INCOMPLETE — "&amp;Scorecard!B44&amp;" | Asked but not fully probed/confirmed.",""))</f>
        <v/>
      </c>
      <c r="C45" s="25" t="str">
        <f aca="false">IF(Scorecard!G44="None",Scorecard!F44,IF(Scorecard!G44="Partial",Scorecard!F44/2,""))</f>
        <v/>
      </c>
    </row>
    <row r="46" customFormat="false" ht="14.25" hidden="false" customHeight="true" outlineLevel="0" collapsed="false">
      <c r="A46" s="8" t="str">
        <f aca="false">Scorecard!A46</f>
        <v>H1</v>
      </c>
      <c r="B46" s="4" t="str">
        <f aca="false">IF(Scorecard!G46="None","NOT NARRATED — "&amp;Scorecard!B46&amp;" | Cover: "&amp;Scorecard!C46,IF(Scorecard!G46="Partial","INCOMPLETE — "&amp;Scorecard!B46&amp;" | Asked but not fully probed/confirmed.",""))</f>
        <v/>
      </c>
      <c r="C46" s="25" t="str">
        <f aca="false">IF(Scorecard!G46="None",Scorecard!F46,IF(Scorecard!G46="Partial",Scorecard!F46/2,""))</f>
        <v/>
      </c>
    </row>
    <row r="47" customFormat="false" ht="14.25" hidden="false" customHeight="true" outlineLevel="0" collapsed="false">
      <c r="A47" s="8" t="str">
        <f aca="false">Scorecard!A47</f>
        <v>H2</v>
      </c>
      <c r="B47" s="4" t="str">
        <f aca="false">IF(Scorecard!G47="None","NOT NARRATED — "&amp;Scorecard!B47&amp;" | Cover: "&amp;Scorecard!C47,IF(Scorecard!G47="Partial","INCOMPLETE — "&amp;Scorecard!B47&amp;" | Asked but not fully probed/confirmed.",""))</f>
        <v/>
      </c>
      <c r="C47" s="25" t="str">
        <f aca="false">IF(Scorecard!G47="None",Scorecard!F47,IF(Scorecard!G47="Partial",Scorecard!F47/2,""))</f>
        <v/>
      </c>
    </row>
    <row r="48" customFormat="false" ht="14.25" hidden="false" customHeight="true" outlineLevel="0" collapsed="false">
      <c r="A48" s="8" t="str">
        <f aca="false">Scorecard!A48</f>
        <v>H3</v>
      </c>
      <c r="B48" s="4" t="str">
        <f aca="false">IF(Scorecard!G48="None","NOT NARRATED — "&amp;Scorecard!B48&amp;" | Cover: "&amp;Scorecard!C48,IF(Scorecard!G48="Partial","INCOMPLETE — "&amp;Scorecard!B48&amp;" | Asked but not fully probed/confirmed.",""))</f>
        <v/>
      </c>
      <c r="C48" s="25" t="str">
        <f aca="false">IF(Scorecard!G48="None",Scorecard!F48,IF(Scorecard!G48="Partial",Scorecard!F48/2,""))</f>
        <v/>
      </c>
    </row>
    <row r="49" customFormat="false" ht="14.25" hidden="false" customHeight="true" outlineLevel="0" collapsed="false">
      <c r="A49" s="53"/>
      <c r="B49" s="23" t="s">
        <v>276</v>
      </c>
      <c r="C49" s="30" t="n">
        <f aca="false">SUM(C18:C48)</f>
        <v>0</v>
      </c>
    </row>
    <row r="50" customFormat="false" ht="14.25" hidden="false" customHeight="true" outlineLevel="0" collapsed="false">
      <c r="A50" s="10"/>
      <c r="B50" s="10"/>
      <c r="C50" s="10"/>
    </row>
    <row r="51" customFormat="false" ht="14.25" hidden="false" customHeight="true" outlineLevel="0" collapsed="false">
      <c r="A51" s="10"/>
      <c r="B51" s="10"/>
      <c r="C51" s="10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54" width="25"/>
    <col collapsed="false" customWidth="true" hidden="false" outlineLevel="0" max="2" min="2" style="54" width="86.88"/>
    <col collapsed="false" customWidth="true" hidden="false" outlineLevel="0" max="3" min="3" style="54" width="57.88"/>
    <col collapsed="false" customWidth="false" hidden="false" outlineLevel="0" max="16384" min="4" style="54" width="8.67"/>
  </cols>
  <sheetData>
    <row r="1" customFormat="false" ht="15" hidden="false" customHeight="true" outlineLevel="0" collapsed="false">
      <c r="A1" s="55" t="s">
        <v>277</v>
      </c>
      <c r="B1" s="55"/>
      <c r="C1" s="55"/>
    </row>
    <row r="3" customFormat="false" ht="14.25" hidden="false" customHeight="true" outlineLevel="0" collapsed="false">
      <c r="A3" s="56" t="s">
        <v>278</v>
      </c>
      <c r="B3" s="56" t="s">
        <v>279</v>
      </c>
      <c r="C3" s="56" t="s">
        <v>280</v>
      </c>
    </row>
    <row r="4" customFormat="false" ht="27.75" hidden="false" customHeight="true" outlineLevel="0" collapsed="false">
      <c r="A4" s="4" t="s">
        <v>281</v>
      </c>
      <c r="B4" s="4" t="s">
        <v>282</v>
      </c>
      <c r="C4" s="4" t="s">
        <v>283</v>
      </c>
    </row>
    <row r="5" customFormat="false" ht="14.25" hidden="false" customHeight="true" outlineLevel="0" collapsed="false">
      <c r="A5" s="4" t="s">
        <v>284</v>
      </c>
      <c r="B5" s="4" t="s">
        <v>285</v>
      </c>
      <c r="C5" s="4" t="s">
        <v>286</v>
      </c>
    </row>
    <row r="6" customFormat="false" ht="14.25" hidden="false" customHeight="true" outlineLevel="0" collapsed="false">
      <c r="A6" s="4" t="s">
        <v>287</v>
      </c>
      <c r="B6" s="4" t="s">
        <v>288</v>
      </c>
      <c r="C6" s="4" t="s">
        <v>289</v>
      </c>
    </row>
    <row r="7" customFormat="false" ht="14.25" hidden="false" customHeight="true" outlineLevel="0" collapsed="false">
      <c r="A7" s="4" t="s">
        <v>290</v>
      </c>
      <c r="B7" s="4" t="s">
        <v>291</v>
      </c>
      <c r="C7" s="4" t="s">
        <v>292</v>
      </c>
    </row>
    <row r="8" customFormat="false" ht="27.75" hidden="false" customHeight="true" outlineLevel="0" collapsed="false">
      <c r="A8" s="4" t="s">
        <v>293</v>
      </c>
      <c r="B8" s="4" t="s">
        <v>294</v>
      </c>
      <c r="C8" s="4" t="s">
        <v>295</v>
      </c>
    </row>
    <row r="9" customFormat="false" ht="27.75" hidden="false" customHeight="true" outlineLevel="0" collapsed="false">
      <c r="A9" s="4" t="s">
        <v>296</v>
      </c>
      <c r="B9" s="4" t="s">
        <v>297</v>
      </c>
      <c r="C9" s="4" t="s">
        <v>298</v>
      </c>
    </row>
    <row r="10" customFormat="false" ht="27.75" hidden="false" customHeight="true" outlineLevel="0" collapsed="false">
      <c r="A10" s="4" t="s">
        <v>299</v>
      </c>
      <c r="B10" s="4" t="s">
        <v>300</v>
      </c>
      <c r="C10" s="4" t="s">
        <v>301</v>
      </c>
    </row>
    <row r="11" customFormat="false" ht="27.75" hidden="false" customHeight="true" outlineLevel="0" collapsed="false">
      <c r="A11" s="4" t="s">
        <v>302</v>
      </c>
      <c r="B11" s="4" t="s">
        <v>303</v>
      </c>
      <c r="C11" s="4" t="s">
        <v>304</v>
      </c>
    </row>
    <row r="13" customFormat="false" ht="14.25" hidden="false" customHeight="true" outlineLevel="0" collapsed="false">
      <c r="A13" s="57" t="s">
        <v>305</v>
      </c>
      <c r="B13" s="58"/>
      <c r="C13" s="58"/>
    </row>
    <row r="14" customFormat="false" ht="14.25" hidden="false" customHeight="true" outlineLevel="0" collapsed="false">
      <c r="A14" s="56" t="s">
        <v>306</v>
      </c>
      <c r="B14" s="56" t="s">
        <v>307</v>
      </c>
      <c r="C14" s="56" t="s">
        <v>308</v>
      </c>
    </row>
    <row r="15" customFormat="false" ht="14.25" hidden="false" customHeight="true" outlineLevel="0" collapsed="false">
      <c r="A15" s="59" t="s">
        <v>309</v>
      </c>
      <c r="B15" s="59" t="s">
        <v>310</v>
      </c>
      <c r="C15" s="59" t="s">
        <v>311</v>
      </c>
    </row>
    <row r="16" customFormat="false" ht="14.25" hidden="false" customHeight="true" outlineLevel="0" collapsed="false">
      <c r="A16" s="59" t="s">
        <v>312</v>
      </c>
      <c r="B16" s="59" t="s">
        <v>313</v>
      </c>
      <c r="C16" s="59" t="s">
        <v>314</v>
      </c>
    </row>
    <row r="17" customFormat="false" ht="14.25" hidden="false" customHeight="true" outlineLevel="0" collapsed="false">
      <c r="A17" s="59" t="s">
        <v>315</v>
      </c>
      <c r="B17" s="59" t="s">
        <v>316</v>
      </c>
      <c r="C17" s="59" t="s">
        <v>317</v>
      </c>
    </row>
    <row r="18" customFormat="false" ht="14.25" hidden="false" customHeight="true" outlineLevel="0" collapsed="false">
      <c r="A18" s="59" t="s">
        <v>318</v>
      </c>
      <c r="B18" s="59" t="s">
        <v>319</v>
      </c>
      <c r="C18" s="59" t="s">
        <v>320</v>
      </c>
    </row>
    <row r="19" customFormat="false" ht="14.25" hidden="false" customHeight="true" outlineLevel="0" collapsed="false">
      <c r="A19" s="59" t="s">
        <v>321</v>
      </c>
      <c r="B19" s="59" t="s">
        <v>322</v>
      </c>
      <c r="C19" s="59" t="s">
        <v>323</v>
      </c>
    </row>
    <row r="21" customFormat="false" ht="14.25" hidden="false" customHeight="true" outlineLevel="0" collapsed="false">
      <c r="A21" s="60" t="s">
        <v>324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2026-08-09T08:04:17Z</dcterms:created>
  <dc:creator>openpyxl</dc:creator>
  <dc:description/>
  <dc:language>en-US</dc:language>
  <cp:lastModifiedBy>Amit Goel</cp:lastModifiedBy>
  <dcterms:modified xsi:type="dcterms:W3CDTF">2026-08-20T12:08:31Z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