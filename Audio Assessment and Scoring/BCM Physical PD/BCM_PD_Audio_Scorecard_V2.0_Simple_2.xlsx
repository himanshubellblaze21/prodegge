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mitg\Desktop\Audio PD AI Assessment\BCM Physical PD\September2026\"/>
    </mc:Choice>
  </mc:AlternateContent>
  <xr:revisionPtr revIDLastSave="0" documentId="13_ncr:1_{BB6F136B-0BFC-4CDE-AF0D-A16D94434615}" xr6:coauthVersionLast="47" xr6:coauthVersionMax="47" xr10:uidLastSave="{00000000-0000-0000-0000-000000000000}"/>
  <bookViews>
    <workbookView xWindow="-108" yWindow="-108" windowWidth="23256" windowHeight="12456" tabRatio="500" xr2:uid="{00000000-000D-0000-FFFF-FFFF00000000}"/>
  </bookViews>
  <sheets>
    <sheet name="Scorecard" sheetId="1" r:id="rId1"/>
    <sheet name="My Result"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70" i="2" l="1"/>
  <c r="E70" i="2"/>
  <c r="C70" i="2"/>
  <c r="B70" i="2"/>
  <c r="F69" i="2"/>
  <c r="E69" i="2"/>
  <c r="C69" i="2"/>
  <c r="B69" i="2"/>
  <c r="F68" i="2"/>
  <c r="E68" i="2"/>
  <c r="C68" i="2"/>
  <c r="B68" i="2"/>
  <c r="F67" i="2"/>
  <c r="E67" i="2"/>
  <c r="C67" i="2"/>
  <c r="B67" i="2"/>
  <c r="F65" i="2"/>
  <c r="E65" i="2"/>
  <c r="C65" i="2"/>
  <c r="B65" i="2"/>
  <c r="F64" i="2"/>
  <c r="E64" i="2"/>
  <c r="C64" i="2"/>
  <c r="B64" i="2"/>
  <c r="F63" i="2"/>
  <c r="E63" i="2"/>
  <c r="C63" i="2"/>
  <c r="B63" i="2"/>
  <c r="F62" i="2"/>
  <c r="E62" i="2"/>
  <c r="C62" i="2"/>
  <c r="B62" i="2"/>
  <c r="F61" i="2"/>
  <c r="E61" i="2"/>
  <c r="C61" i="2"/>
  <c r="B61" i="2"/>
  <c r="F59" i="2"/>
  <c r="E59" i="2"/>
  <c r="C59" i="2"/>
  <c r="B59" i="2"/>
  <c r="F58" i="2"/>
  <c r="E58" i="2"/>
  <c r="C58" i="2"/>
  <c r="B58" i="2"/>
  <c r="F57" i="2"/>
  <c r="E57" i="2"/>
  <c r="C57" i="2"/>
  <c r="B57" i="2"/>
  <c r="F56" i="2"/>
  <c r="E56" i="2"/>
  <c r="C56" i="2"/>
  <c r="B56" i="2"/>
  <c r="F54" i="2"/>
  <c r="E54" i="2"/>
  <c r="C54" i="2"/>
  <c r="B54" i="2"/>
  <c r="F53" i="2"/>
  <c r="E53" i="2"/>
  <c r="C53" i="2"/>
  <c r="B53" i="2"/>
  <c r="F52" i="2"/>
  <c r="E52" i="2"/>
  <c r="C52" i="2"/>
  <c r="B52" i="2"/>
  <c r="F51" i="2"/>
  <c r="E51" i="2"/>
  <c r="C51" i="2"/>
  <c r="B51" i="2"/>
  <c r="F49" i="2"/>
  <c r="E49" i="2"/>
  <c r="C49" i="2"/>
  <c r="B49" i="2"/>
  <c r="F48" i="2"/>
  <c r="E48" i="2"/>
  <c r="C48" i="2"/>
  <c r="B48" i="2"/>
  <c r="F47" i="2"/>
  <c r="E47" i="2"/>
  <c r="C47" i="2"/>
  <c r="B47" i="2"/>
  <c r="F46" i="2"/>
  <c r="E46" i="2"/>
  <c r="C46" i="2"/>
  <c r="B46" i="2"/>
  <c r="F44" i="2"/>
  <c r="E44" i="2"/>
  <c r="C44" i="2"/>
  <c r="B44" i="2"/>
  <c r="F43" i="2"/>
  <c r="E43" i="2"/>
  <c r="C43" i="2"/>
  <c r="B43" i="2"/>
  <c r="F42" i="2"/>
  <c r="E42" i="2"/>
  <c r="C42" i="2"/>
  <c r="B42" i="2"/>
  <c r="F41" i="2"/>
  <c r="E41" i="2"/>
  <c r="C41" i="2"/>
  <c r="B41" i="2"/>
  <c r="F40" i="2"/>
  <c r="E40" i="2"/>
  <c r="C40" i="2"/>
  <c r="B40" i="2"/>
  <c r="F39" i="2"/>
  <c r="E39" i="2"/>
  <c r="C39" i="2"/>
  <c r="B39" i="2"/>
  <c r="F38" i="2"/>
  <c r="E38" i="2"/>
  <c r="C38" i="2"/>
  <c r="B38" i="2"/>
  <c r="F37" i="2"/>
  <c r="E37" i="2"/>
  <c r="C37" i="2"/>
  <c r="B37" i="2"/>
  <c r="F36" i="2"/>
  <c r="E36" i="2"/>
  <c r="C36" i="2"/>
  <c r="B36" i="2"/>
  <c r="F34" i="2"/>
  <c r="E34" i="2"/>
  <c r="C34" i="2"/>
  <c r="B34" i="2"/>
  <c r="F33" i="2"/>
  <c r="E33" i="2"/>
  <c r="C33" i="2"/>
  <c r="B33" i="2"/>
  <c r="F32" i="2"/>
  <c r="E32" i="2"/>
  <c r="C32" i="2"/>
  <c r="B32" i="2"/>
  <c r="F31" i="2"/>
  <c r="E31" i="2"/>
  <c r="C31" i="2"/>
  <c r="B31" i="2"/>
  <c r="F30" i="2"/>
  <c r="E30" i="2"/>
  <c r="C30" i="2"/>
  <c r="B30" i="2"/>
  <c r="C17" i="2"/>
  <c r="C8" i="2"/>
  <c r="C7" i="2"/>
  <c r="C6" i="2"/>
  <c r="C5" i="2"/>
  <c r="C4" i="2"/>
  <c r="C59" i="1"/>
  <c r="C11" i="2" s="1"/>
  <c r="C57" i="1"/>
  <c r="C58" i="1" s="1"/>
  <c r="C54" i="1"/>
  <c r="C53" i="1"/>
  <c r="H51" i="1"/>
  <c r="F51" i="1"/>
  <c r="D70" i="2" s="1"/>
  <c r="H50" i="1"/>
  <c r="F50" i="1"/>
  <c r="D69" i="2" s="1"/>
  <c r="H49" i="1"/>
  <c r="F49" i="1"/>
  <c r="D68" i="2" s="1"/>
  <c r="H48" i="1"/>
  <c r="F48" i="1"/>
  <c r="H46" i="1"/>
  <c r="F46" i="1"/>
  <c r="D65" i="2" s="1"/>
  <c r="H45" i="1"/>
  <c r="F45" i="1"/>
  <c r="D64" i="2" s="1"/>
  <c r="H44" i="1"/>
  <c r="F44" i="1"/>
  <c r="D63" i="2" s="1"/>
  <c r="H43" i="1"/>
  <c r="F43" i="1"/>
  <c r="D62" i="2" s="1"/>
  <c r="H42" i="1"/>
  <c r="F42" i="1"/>
  <c r="H40" i="1"/>
  <c r="F40" i="1"/>
  <c r="D59" i="2" s="1"/>
  <c r="H39" i="1"/>
  <c r="F39" i="1"/>
  <c r="D58" i="2" s="1"/>
  <c r="H38" i="1"/>
  <c r="F38" i="1"/>
  <c r="D57" i="2" s="1"/>
  <c r="H37" i="1"/>
  <c r="F37" i="1"/>
  <c r="H35" i="1"/>
  <c r="F35" i="1"/>
  <c r="D54" i="2" s="1"/>
  <c r="H34" i="1"/>
  <c r="F34" i="1"/>
  <c r="D53" i="2" s="1"/>
  <c r="H33" i="1"/>
  <c r="F33" i="1"/>
  <c r="D52" i="2" s="1"/>
  <c r="H32" i="1"/>
  <c r="F32" i="1"/>
  <c r="H30" i="1"/>
  <c r="F30" i="1"/>
  <c r="D49" i="2" s="1"/>
  <c r="H29" i="1"/>
  <c r="F29" i="1"/>
  <c r="D48" i="2" s="1"/>
  <c r="H28" i="1"/>
  <c r="F28" i="1"/>
  <c r="D47" i="2" s="1"/>
  <c r="H27" i="1"/>
  <c r="F27" i="1"/>
  <c r="D46" i="2" s="1"/>
  <c r="H25" i="1"/>
  <c r="F25" i="1"/>
  <c r="D44" i="2" s="1"/>
  <c r="H24" i="1"/>
  <c r="F24" i="1"/>
  <c r="D43" i="2" s="1"/>
  <c r="H23" i="1"/>
  <c r="F23" i="1"/>
  <c r="D42" i="2" s="1"/>
  <c r="H22" i="1"/>
  <c r="F22" i="1"/>
  <c r="D41" i="2" s="1"/>
  <c r="H21" i="1"/>
  <c r="F21" i="1"/>
  <c r="D40" i="2" s="1"/>
  <c r="H20" i="1"/>
  <c r="F20" i="1"/>
  <c r="D39" i="2" s="1"/>
  <c r="H19" i="1"/>
  <c r="F19" i="1"/>
  <c r="D38" i="2" s="1"/>
  <c r="H18" i="1"/>
  <c r="F18" i="1"/>
  <c r="D37" i="2" s="1"/>
  <c r="H17" i="1"/>
  <c r="F17" i="1"/>
  <c r="H15" i="1"/>
  <c r="F15" i="1"/>
  <c r="D34" i="2" s="1"/>
  <c r="H14" i="1"/>
  <c r="F14" i="1"/>
  <c r="D33" i="2" s="1"/>
  <c r="H13" i="1"/>
  <c r="F13" i="1"/>
  <c r="D32" i="2" s="1"/>
  <c r="H12" i="1"/>
  <c r="F12" i="1"/>
  <c r="D31" i="2" s="1"/>
  <c r="H11" i="1"/>
  <c r="F11" i="1"/>
  <c r="D17" i="2" l="1"/>
  <c r="D67" i="2"/>
  <c r="D21" i="2"/>
  <c r="D61" i="2"/>
  <c r="D20" i="2"/>
  <c r="D56" i="2"/>
  <c r="D19" i="2"/>
  <c r="D51" i="2"/>
  <c r="D18" i="2"/>
  <c r="D16" i="2"/>
  <c r="D36" i="2"/>
  <c r="F25" i="2"/>
  <c r="B26" i="2"/>
  <c r="B25" i="2"/>
  <c r="F24" i="2"/>
  <c r="B24" i="2"/>
  <c r="F26" i="2"/>
  <c r="D15" i="2"/>
  <c r="C55" i="1"/>
  <c r="C56" i="1" s="1"/>
  <c r="C10" i="2" s="1"/>
  <c r="D30" i="2"/>
  <c r="E21" i="2" l="1"/>
  <c r="F21" i="2"/>
  <c r="E20" i="2"/>
  <c r="F20" i="2"/>
  <c r="E19" i="2"/>
  <c r="F19" i="2"/>
  <c r="E18" i="2"/>
  <c r="F18" i="2"/>
  <c r="F16" i="2"/>
  <c r="E16" i="2"/>
  <c r="F15" i="2"/>
  <c r="E15" i="2"/>
  <c r="E17" i="2"/>
  <c r="F17" i="2"/>
</calcChain>
</file>

<file path=xl/sharedStrings.xml><?xml version="1.0" encoding="utf-8"?>
<sst xmlns="http://schemas.openxmlformats.org/spreadsheetml/2006/main" count="197" uniqueCount="151">
  <si>
    <t>BCM PHYSICAL PD — AUDIO RECORDING SCORECARD (V2.0 Simple)</t>
  </si>
  <si>
    <t>Evaluator: fill the yellow cells only. For each item choose Yes (fully said with names/numbers), Half (mentioned but vague/incomplete) or No (not said). Score, result and the BCM's "My Result" page fill automatically.</t>
  </si>
  <si>
    <t>Application ID</t>
  </si>
  <si>
    <t>Recording length (minutes)</t>
  </si>
  <si>
    <t>Customer name</t>
  </si>
  <si>
    <t>Recorded same day as visits? (Yes/No)</t>
  </si>
  <si>
    <t>BCM name</t>
  </si>
  <si>
    <t>Farm / dairy / other family income in this case? (Yes/No)</t>
  </si>
  <si>
    <t>Date of PD &amp; recording</t>
  </si>
  <si>
    <t>Evaluator</t>
  </si>
  <si>
    <t>No</t>
  </si>
  <si>
    <t>WHAT THE BCM MUST SAY IN THE RECORDING</t>
  </si>
  <si>
    <t>Points</t>
  </si>
  <si>
    <t>MUST</t>
  </si>
  <si>
    <t>Covered? (Yes / Half / No)</t>
  </si>
  <si>
    <t>Score</t>
  </si>
  <si>
    <t>What was missing — evaluator note</t>
  </si>
  <si>
    <t>lost (helper)</t>
  </si>
  <si>
    <t>A. VISIT &amp; PHOTOS</t>
  </si>
  <si>
    <t>Minute 0–2</t>
  </si>
  <si>
    <t>A1</t>
  </si>
  <si>
    <t>Start with: Application ID, customer name, village/town, loan amount asked. Say that you checked the CRIF report and BPS score before going.</t>
  </si>
  <si>
    <t>A2</t>
  </si>
  <si>
    <t>Say that you met the BORROWER HIMSELF at his business — not on phone, not through a relative. Date, time, and who came with you.</t>
  </si>
  <si>
    <t>A3</t>
  </si>
  <si>
    <t>Time spent: business (start–end) and home (start–end). Total must be at least 1 hour (normally 1 to 1.5 hours).</t>
  </si>
  <si>
    <t>A4</t>
  </si>
  <si>
    <t>Home and property visited (say if home and property are the same house). Co-borrower and family met at home.</t>
  </si>
  <si>
    <t>A5</t>
  </si>
  <si>
    <t>Photos taken and uploaded: signboard, QR code, FULL stock, purchase bills, sales bills / register / khata, mandi receipts, every room of the house, household items, electricity meter, both business neighbours, both home neighbours, land / animals (if any), property papers.</t>
  </si>
  <si>
    <t>B. BUSINESS (say this for EVERY business — borrower's and family members')</t>
  </si>
  <si>
    <t>Minute 2–9</t>
  </si>
  <si>
    <t>B1</t>
  </si>
  <si>
    <t>What you SAW: shop/unit size, how much stock, how many staff, customers during your visit, machines, signboard. Every business visited — including one run by wife, son, father.</t>
  </si>
  <si>
    <t>B2</t>
  </si>
  <si>
    <t>Who actually runs it; running since which year; what the borrower did BEFORE this; new business or family business for generations; shop owned or rented (rent, years here); licence seen (Udyam / Gumasta / GST / FSSAI).</t>
  </si>
  <si>
    <t>B3</t>
  </si>
  <si>
    <t>PURCHASES: buys material from where; purchase bills of last 12 months seen?; % paid by bank/UPI and % by cash; TOP 5 SUPPLIERS with names and mobile numbers; credit taken from suppliers (days, amount due).</t>
  </si>
  <si>
    <t>B4</t>
  </si>
  <si>
    <t>SALES: who buys; % received in cash and % by UPI; QR code / UPI is in WHOSE name; sales today and average daily sales; average monthly sales; lean months and daily sales in lean months; udhaar (credit) given to customers — how much.</t>
  </si>
  <si>
    <t>B5</t>
  </si>
  <si>
    <t>STOCK: you counted the stock yourself — your value (Rs.) vs what the customer says.</t>
  </si>
  <si>
    <t>B6</t>
  </si>
  <si>
    <t>INCOME MATHS said aloud: monthly sales × margin % − expenses (rent, electricity, salary, transport) = monthly income. CHECK with AA: UPI credits per month ÷ UPI % = real sales. Say which document supports each number. If a number has no support, take the lower figure — do not accept the customer's number just because he said it.</t>
  </si>
  <si>
    <t>B7</t>
  </si>
  <si>
    <t>AA (Account Aggregator) triggered on PRAGATI for ALL bank accounts of borrower and co-borrowers — name each account and say SUCCESS or FAILED for each. Documents seen: bills, register, khata, passbook, kata parchi.</t>
  </si>
  <si>
    <t>B8</t>
  </si>
  <si>
    <t>2 BUSINESS NEIGHBOURS: name, shop, mobile number, how long this business is running here, what they said about the customer. Photos taken.</t>
  </si>
  <si>
    <t>B9</t>
  </si>
  <si>
    <t>YOUR VIEW on each business: genuine and running — or doubt (borrowed stock, arranged setup, too small for the claim). Say it clearly.</t>
  </si>
  <si>
    <t>C. FARM, DAIRY &amp; OTHER FAMILY INCOME (if none, say so — then this group is not counted)</t>
  </si>
  <si>
    <t>Minute 9–11</t>
  </si>
  <si>
    <t>C1</t>
  </si>
  <si>
    <t>LAND: acres, Khasra number, in whose name, borrower's share; checked on Bhulekh / SVAMITVA; land seen (or GPS video if far).</t>
  </si>
  <si>
    <t>C2</t>
  </si>
  <si>
    <t>CROPS: which crops each season, yield and price, mandi receipts / PM-KISAN credit seen; KCC or JLG loan — bank, limit, regular or overdue (if overdue: reason and which land).</t>
  </si>
  <si>
    <t>C3</t>
  </si>
  <si>
    <t>DAIRY: cows/buffaloes counted by you (photo), litres per day, milk sold to whom (Sanchi / society / private), rate, proof (passbook / slips / UPI).</t>
  </si>
  <si>
    <t>C4</t>
  </si>
  <si>
    <t>OTHER INCOME: what each family member does and earns (salary, pension, rent, labour, driving, tailoring), with proof. Say which incomes you are COUNTING and which NOT — and why.</t>
  </si>
  <si>
    <t>D. LOANS &amp; REPAYMENT</t>
  </si>
  <si>
    <t>Minute 11–14</t>
  </si>
  <si>
    <t>D1</t>
  </si>
  <si>
    <t>EVERY loan in the CRIF of borrower, co-borrowers AND guarantors — lender, EMI, outstanding — discussed with them. Plus loans not in CRIF: MFI / SHG / JLG, KCC / society, gold, hand loans, chit / committee, supplier credit. Anything found on the ground that was not disclosed — say it.</t>
  </si>
  <si>
    <t>D2</t>
  </si>
  <si>
    <t>DEFAULTS: for every overdue / DPD / settled account — the reason in the customer's words and your view (justified or not). EMIs paid by bank (NACH) or in cash to an agent? Is he a regular defaulter who does not care, or one-time with a clear reason?</t>
  </si>
  <si>
    <t>D3</t>
  </si>
  <si>
    <t>Family expenses per month, school fees, any big expense coming in 12 months (marriage, house construction, vehicle).</t>
  </si>
  <si>
    <t>D4</t>
  </si>
  <si>
    <t>Loans applied in the last 3 months: where, how much, result, WHY not sanctioned yet, TOTAL money he wants from all lenders together. Then: income − expenses − EMIs = surplus, compared with the proposed EMI.</t>
  </si>
  <si>
    <t>E. FAMILY &amp; HOME</t>
  </si>
  <si>
    <t>Minute 14–17</t>
  </si>
  <si>
    <t>E1</t>
  </si>
  <si>
    <t>HOME: own or rented, years living here, pucca / kachha, rooms; electricity bill in whose name; items seen — tractor, car, bike, TV, fridge, washing machine, smartphones (how many), cooler / AC, gas, electricity meter. Does the standard of living match the income claimed?</t>
  </si>
  <si>
    <t>E2</t>
  </si>
  <si>
    <t>CO-BORROWER (wife / mother) met in person — knows the loan amount, the EMI and that the HOUSE WILL BE MORTGAGED. Each family member: what they do, aware of the loan, supportive? KYC originals (Aadhaar / PAN / Voter) and Samagra ID of borrower and ALL co-borrowers checked and matched.</t>
  </si>
  <si>
    <t>E3</t>
  </si>
  <si>
    <t>2 HOME NEIGHBOURS: name, mobile number, how long the family is staying here, conduct, any dispute. Photos taken.</t>
  </si>
  <si>
    <t>E4</t>
  </si>
  <si>
    <t>Told the customer and family: this is a Loan Against Property (house mortgaged), the EMI amount, Clean Track Reward (last 3 EMIs waived on clean repayment), ZERO COMMISSION — pay nobody, Prodigee works on trust and integrity.</t>
  </si>
  <si>
    <t>F. PROPERTY</t>
  </si>
  <si>
    <t>Minute 17–20</t>
  </si>
  <si>
    <t>F1</t>
  </si>
  <si>
    <t>Property: house / shop / plot, self-occupied or rented out, pucca, age, area (sq.ft), road access, kitchen and toilet, condition.</t>
  </si>
  <si>
    <t>F2</t>
  </si>
  <si>
    <t>ORIGINAL papers seen with your own eyes (Sale Deed / Patta / 5-pager — say which); in whose name; how he got it; mutation done? ALL owners and legal heirs are CO-BORROWERS on this loan — name them.</t>
  </si>
  <si>
    <t>F3</t>
  </si>
  <si>
    <t>Papers genuine? (registry seal and number, pages complete, Panchayat seal / signature). Already mortgaged with any other bank / finance company? Original papers lying with any other lender? Asked the family; checked CRIF for secured loans. For panchayat property: Patta / SVAMITVA record checked.</t>
  </si>
  <si>
    <t>F4</t>
  </si>
  <si>
    <t>Approximate value with the basis (local rate per sq.ft, a recent sale nearby, neighbour's view); distress value; loan amount vs value.</t>
  </si>
  <si>
    <t>F5</t>
  </si>
  <si>
    <t>Risks: any dispute, ST / tribal land, high-tension line / river bank / encroachment, negative area, demolition risk — say "none" if none.</t>
  </si>
  <si>
    <t>G. LOAN PURPOSE &amp; YOUR VIEW</t>
  </si>
  <si>
    <t>Minute 20–22</t>
  </si>
  <si>
    <t>G1</t>
  </si>
  <si>
    <t>Loan purpose: how much for what, where, when; is the need visible on the ground (empty shelves, loans to be closed); not a restricted use.</t>
  </si>
  <si>
    <t>G2</t>
  </si>
  <si>
    <t>INTENT &amp; INTEGRITY — answer each one clearly: (1) business genuine? (2) sales and purchase numbers true or inflated? (3) defaults justified? (4) regular defaulter? (5) family aware and supportive? (6) all property owners on the loan? (7) papers genuine? (8) customer open or evasive about accounts, bills, loans? (9) any middleman or commission?</t>
  </si>
  <si>
    <t>G3</t>
  </si>
  <si>
    <t>WARNING SIGNS seen — say each one, or say "none": staged / fake business · hidden loans · family unaware · doubtful papers or property mortgaged elsewhere · commission or middleman · numbers not matching AA / bills.</t>
  </si>
  <si>
    <t>G4</t>
  </si>
  <si>
    <t>What you could NOT verify — say it honestly. Your overall view: total family income vs loan asked, ability and intention to repay. (This is your view — the decision is taken later on PRAGATI.)</t>
  </si>
  <si>
    <t>Recording valid? (15–25 minutes AND same day)</t>
  </si>
  <si>
    <t>Points applicable (Group C removed if no farm/dairy/other income)</t>
  </si>
  <si>
    <t>Points scored</t>
  </si>
  <si>
    <t>SCORE (out of 100)</t>
  </si>
  <si>
    <t>MUST items not fully covered (count)</t>
  </si>
  <si>
    <t>MUST items missed (list)</t>
  </si>
  <si>
    <t>RESULT</t>
  </si>
  <si>
    <t>MY PD AUDIO RESULT</t>
  </si>
  <si>
    <t>Read this after every recording. It shows your score, what you missed and what to cover first next time. Nothing to fill here — it comes from the Scorecard.</t>
  </si>
  <si>
    <t>BCM</t>
  </si>
  <si>
    <t>Customer</t>
  </si>
  <si>
    <t>Date</t>
  </si>
  <si>
    <t>Recording length (min)</t>
  </si>
  <si>
    <t>MY SCORE</t>
  </si>
  <si>
    <t>Minimum to pass: 75. All MUST items must be Yes. 90+ is Excellent.</t>
  </si>
  <si>
    <t>HOW I DID — GROUP-WISE</t>
  </si>
  <si>
    <t>I got</t>
  </si>
  <si>
    <t>%</t>
  </si>
  <si>
    <t>Comment</t>
  </si>
  <si>
    <t>A</t>
  </si>
  <si>
    <t>Visit &amp; Photos</t>
  </si>
  <si>
    <t>B</t>
  </si>
  <si>
    <t>Business</t>
  </si>
  <si>
    <t>C</t>
  </si>
  <si>
    <t>Farm, Dairy &amp; Other Family Income</t>
  </si>
  <si>
    <t>D</t>
  </si>
  <si>
    <t>Loans &amp; Repayment</t>
  </si>
  <si>
    <t>E</t>
  </si>
  <si>
    <t>Family &amp; Home</t>
  </si>
  <si>
    <t>F</t>
  </si>
  <si>
    <t>Property</t>
  </si>
  <si>
    <t>G</t>
  </si>
  <si>
    <t>Loan Purpose &amp; Your View</t>
  </si>
  <si>
    <t>NEXT TIME — COVER THESE FIRST (the 3 items where I lost most points)</t>
  </si>
  <si>
    <t>MY CHECKLIST — WHAT I SAID AND WHAT I MISSED</t>
  </si>
  <si>
    <t>Mark</t>
  </si>
  <si>
    <t>What was missing</t>
  </si>
  <si>
    <t>A2 ★</t>
  </si>
  <si>
    <t>B. BUSINESS</t>
  </si>
  <si>
    <t>B1 ★</t>
  </si>
  <si>
    <t>B7 ★</t>
  </si>
  <si>
    <t>B8 ★</t>
  </si>
  <si>
    <t>C. FARM, DAIRY &amp; OTHER FAMILY INCOME</t>
  </si>
  <si>
    <t>D1 ★</t>
  </si>
  <si>
    <t>E2 ★</t>
  </si>
  <si>
    <t>E3 ★</t>
  </si>
  <si>
    <t>F2 ★</t>
  </si>
  <si>
    <t>G2 ★</t>
  </si>
  <si>
    <t>★ = MUST item. A MUST item marked ½ or ✘ means the recording is not accepted — record those points again (a short extra recording covering only the missed points is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</si>
</sst>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FFFFFF"/>
      <name val="Aptos Display"/>
      <family val="2"/>
    </font>
    <font>
      <sz val="11"/>
      <color theme="1"/>
      <name val="Aptos Display"/>
      <family val="2"/>
    </font>
    <font>
      <i/>
      <sz val="9"/>
      <color rgb="FF595959"/>
      <name val="Aptos Display"/>
      <family val="2"/>
    </font>
    <font>
      <sz val="10"/>
      <name val="Aptos Display"/>
      <family val="2"/>
    </font>
    <font>
      <sz val="8"/>
      <color rgb="FFA6A6A6"/>
      <name val="Aptos Display"/>
      <family val="2"/>
    </font>
    <font>
      <b/>
      <sz val="10"/>
      <name val="Aptos Display"/>
      <family val="2"/>
    </font>
    <font>
      <b/>
      <sz val="11"/>
      <name val="Aptos Display"/>
      <family val="2"/>
    </font>
    <font>
      <i/>
      <sz val="11"/>
      <color rgb="FF595959"/>
      <name val="Aptos Display"/>
      <family val="2"/>
    </font>
    <font>
      <sz val="11"/>
      <name val="Aptos Display"/>
      <family val="2"/>
    </font>
    <font>
      <b/>
      <sz val="11"/>
      <color rgb="FFFFFFFF"/>
      <name val="Aptos Display"/>
      <family val="2"/>
    </font>
    <font>
      <b/>
      <sz val="11"/>
      <color rgb="FF7C1D1D"/>
      <name val="Aptos Display"/>
      <family val="2"/>
    </font>
    <font>
      <b/>
      <sz val="16"/>
      <color rgb="FFFFFFFF"/>
      <name val="Aptos Display"/>
      <family val="2"/>
    </font>
    <font>
      <b/>
      <sz val="12"/>
      <color rgb="FFFFFFFF"/>
      <name val="Aptos Display"/>
      <family val="2"/>
    </font>
    <font>
      <b/>
      <sz val="20"/>
      <name val="Aptos Display"/>
      <family val="2"/>
    </font>
  </fonts>
  <fills count="6">
    <fill>
      <patternFill patternType="none"/>
    </fill>
    <fill>
      <patternFill patternType="gray125"/>
    </fill>
    <fill>
      <patternFill patternType="solid">
        <fgColor rgb="FF1F3864"/>
        <bgColor rgb="FF333333"/>
      </patternFill>
    </fill>
    <fill>
      <patternFill patternType="solid">
        <fgColor rgb="FFF4F7FC"/>
        <bgColor rgb="FFFFFFFF"/>
      </patternFill>
    </fill>
    <fill>
      <patternFill patternType="solid">
        <fgColor rgb="FFFFF2CC"/>
        <bgColor rgb="FFFBE4E4"/>
      </patternFill>
    </fill>
    <fill>
      <patternFill patternType="solid">
        <fgColor rgb="FF2E5496"/>
        <b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7" fillId="0" borderId="1" xfId="0" applyFont="1" applyBorder="1" applyAlignment="1">
      <alignment horizontal="left" vertical="center" wrapText="1"/>
    </xf>
    <xf numFmtId="0" fontId="10" fillId="5"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 fillId="2" borderId="0" xfId="0" applyFont="1" applyFill="1" applyAlignment="1">
      <alignment horizontal="left" vertical="center" wrapText="1"/>
    </xf>
    <xf numFmtId="0" fontId="2" fillId="0" borderId="0" xfId="0" applyFont="1" applyAlignment="1">
      <alignment vertical="center"/>
    </xf>
    <xf numFmtId="0" fontId="8" fillId="0" borderId="0" xfId="0" applyFont="1" applyAlignment="1">
      <alignment horizontal="left" vertical="center" wrapText="1"/>
    </xf>
    <xf numFmtId="0" fontId="7" fillId="3"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1" fontId="9" fillId="4" borderId="1" xfId="0" applyNumberFormat="1" applyFont="1" applyFill="1" applyBorder="1" applyAlignment="1">
      <alignment horizontal="left" vertical="center" wrapText="1"/>
    </xf>
    <xf numFmtId="0" fontId="9" fillId="4" borderId="1" xfId="0" applyFont="1" applyFill="1" applyBorder="1" applyAlignment="1">
      <alignment horizontal="left" vertical="center" wrapText="1"/>
    </xf>
    <xf numFmtId="0" fontId="5" fillId="0" borderId="0" xfId="0" applyFont="1" applyAlignment="1">
      <alignment vertical="center"/>
    </xf>
    <xf numFmtId="0" fontId="7"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12" fillId="2" borderId="0" xfId="0" applyFont="1" applyFill="1" applyAlignment="1">
      <alignment horizontal="left" vertical="center" wrapText="1"/>
    </xf>
    <xf numFmtId="0" fontId="3" fillId="0" borderId="0" xfId="0" applyFont="1" applyAlignment="1">
      <alignment horizontal="left" vertical="center" wrapText="1"/>
    </xf>
    <xf numFmtId="0" fontId="6" fillId="3" borderId="2" xfId="0" applyFont="1" applyFill="1" applyBorder="1" applyAlignment="1">
      <alignment horizontal="left" vertical="center" wrapText="1"/>
    </xf>
    <xf numFmtId="0" fontId="4" fillId="0" borderId="2" xfId="0" applyFont="1" applyBorder="1" applyAlignment="1">
      <alignment horizontal="left" vertical="center" wrapText="1"/>
    </xf>
    <xf numFmtId="1" fontId="4" fillId="0" borderId="2" xfId="0" applyNumberFormat="1" applyFont="1" applyBorder="1" applyAlignment="1">
      <alignment horizontal="left" vertical="center" wrapText="1"/>
    </xf>
    <xf numFmtId="0" fontId="2" fillId="0" borderId="2" xfId="0" applyFont="1" applyBorder="1" applyAlignment="1">
      <alignment vertical="center"/>
    </xf>
    <xf numFmtId="0" fontId="13" fillId="5" borderId="2" xfId="0" applyFont="1" applyFill="1" applyBorder="1" applyAlignment="1">
      <alignment horizontal="left" vertical="center" wrapText="1"/>
    </xf>
    <xf numFmtId="0" fontId="14" fillId="0" borderId="2" xfId="0" applyFont="1" applyBorder="1" applyAlignment="1">
      <alignment horizontal="center" vertical="center" wrapText="1"/>
    </xf>
    <xf numFmtId="0" fontId="7" fillId="0" borderId="2" xfId="0" applyFont="1" applyBorder="1" applyAlignment="1">
      <alignment horizontal="left" vertical="center" wrapText="1"/>
    </xf>
    <xf numFmtId="0" fontId="3" fillId="0" borderId="2" xfId="0" applyFont="1" applyBorder="1" applyAlignment="1">
      <alignment horizontal="left" vertical="center" wrapText="1"/>
    </xf>
    <xf numFmtId="0" fontId="10" fillId="5"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0" borderId="2" xfId="0" applyFont="1" applyBorder="1" applyAlignment="1">
      <alignment horizontal="center" vertical="center" wrapText="1"/>
    </xf>
    <xf numFmtId="0" fontId="10" fillId="5" borderId="2" xfId="0" applyFont="1" applyFill="1" applyBorder="1" applyAlignment="1">
      <alignment horizontal="left" vertical="center" wrapText="1"/>
    </xf>
    <xf numFmtId="0" fontId="9" fillId="0" borderId="2" xfId="0" applyFont="1" applyBorder="1" applyAlignment="1">
      <alignment horizontal="left" vertical="center" wrapText="1"/>
    </xf>
    <xf numFmtId="0" fontId="7" fillId="0" borderId="2" xfId="0" applyFont="1" applyBorder="1" applyAlignment="1">
      <alignment horizontal="left" vertical="center" wrapText="1"/>
    </xf>
    <xf numFmtId="0" fontId="10" fillId="2" borderId="2" xfId="0" applyFont="1" applyFill="1" applyBorder="1" applyAlignment="1">
      <alignment horizontal="left" vertical="center" wrapText="1"/>
    </xf>
    <xf numFmtId="0" fontId="11" fillId="0" borderId="2" xfId="0" applyFont="1" applyBorder="1" applyAlignment="1">
      <alignment horizontal="center" vertical="center" wrapText="1"/>
    </xf>
    <xf numFmtId="0" fontId="8" fillId="0" borderId="2" xfId="0" applyFont="1" applyBorder="1" applyAlignment="1">
      <alignment horizontal="center" vertical="center" wrapText="1"/>
    </xf>
  </cellXfs>
  <cellStyles count="1">
    <cellStyle name="Normal" xfId="0" builtinId="0"/>
  </cellStyles>
  <dxfs count="12">
    <dxf>
      <fill>
        <patternFill>
          <bgColor rgb="FFFBE4E4"/>
        </patternFill>
      </fill>
    </dxf>
    <dxf>
      <fill>
        <patternFill>
          <bgColor rgb="FFE2EFDA"/>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
      <fill>
        <patternFill>
          <bgColor rgb="FFE2EFDA"/>
        </patternFill>
      </fill>
    </dxf>
    <dxf>
      <fill>
        <patternFill>
          <bgColor rgb="FFFFF2CC"/>
        </patternFill>
      </fill>
    </dxf>
    <dxf>
      <fill>
        <patternFill>
          <bgColor rgb="FFFBE4E4"/>
        </patternFill>
      </fill>
    </dxf>
    <dxf>
      <fill>
        <patternFill>
          <bgColor rgb="FFE2EFDA"/>
        </patternFill>
      </fill>
    </dxf>
    <dxf>
      <fill>
        <patternFill>
          <bgColor rgb="FFFB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C1D1D"/>
      <rgbColor rgb="FF008000"/>
      <rgbColor rgb="FF000080"/>
      <rgbColor rgb="FF808000"/>
      <rgbColor rgb="FF800080"/>
      <rgbColor rgb="FF008080"/>
      <rgbColor rgb="FFBFBFBF"/>
      <rgbColor rgb="FF808080"/>
      <rgbColor rgb="FF9999FF"/>
      <rgbColor rgb="FF993366"/>
      <rgbColor rgb="FFFFF2CC"/>
      <rgbColor rgb="FFF4F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BE4E4"/>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9"/>
  <sheetViews>
    <sheetView tabSelected="1" zoomScaleNormal="100" workbookViewId="0">
      <pane ySplit="9" topLeftCell="A10" activePane="bottomLeft" state="frozen"/>
      <selection pane="bottomLeft" activeCell="J10" sqref="J10"/>
    </sheetView>
  </sheetViews>
  <sheetFormatPr defaultColWidth="8.6640625" defaultRowHeight="14.4" x14ac:dyDescent="0.3"/>
  <cols>
    <col min="1" max="1" width="14.109375" style="6" customWidth="1"/>
    <col min="2" max="2" width="78" style="6" customWidth="1"/>
    <col min="3" max="3" width="9.33203125" style="6" customWidth="1"/>
    <col min="4" max="4" width="10.109375" style="6" customWidth="1"/>
    <col min="5" max="5" width="12" style="6" customWidth="1"/>
    <col min="6" max="6" width="7" style="6" customWidth="1"/>
    <col min="7" max="7" width="44.21875" style="6" customWidth="1"/>
    <col min="8" max="8" width="8" style="6" customWidth="1"/>
    <col min="9" max="16384" width="8.6640625" style="6"/>
  </cols>
  <sheetData>
    <row r="1" spans="1:8" ht="18" x14ac:dyDescent="0.3">
      <c r="A1" s="5" t="s">
        <v>0</v>
      </c>
      <c r="B1" s="5"/>
      <c r="C1" s="5"/>
      <c r="D1" s="5"/>
      <c r="E1" s="5"/>
      <c r="F1" s="5"/>
      <c r="G1" s="5"/>
    </row>
    <row r="2" spans="1:8" x14ac:dyDescent="0.3">
      <c r="A2" s="7" t="s">
        <v>1</v>
      </c>
      <c r="B2" s="7"/>
      <c r="C2" s="7"/>
      <c r="D2" s="7"/>
      <c r="E2" s="7"/>
      <c r="F2" s="7"/>
      <c r="G2" s="7"/>
    </row>
    <row r="4" spans="1:8" ht="35.4" customHeight="1" x14ac:dyDescent="0.3">
      <c r="A4" s="8" t="s">
        <v>2</v>
      </c>
      <c r="B4" s="9"/>
      <c r="C4" s="10" t="s">
        <v>3</v>
      </c>
      <c r="D4" s="10"/>
      <c r="E4" s="11"/>
      <c r="F4" s="11"/>
      <c r="G4" s="11"/>
    </row>
    <row r="5" spans="1:8" ht="31.2" customHeight="1" x14ac:dyDescent="0.3">
      <c r="A5" s="8" t="s">
        <v>4</v>
      </c>
      <c r="B5" s="9"/>
      <c r="C5" s="10" t="s">
        <v>5</v>
      </c>
      <c r="D5" s="10"/>
      <c r="E5" s="12"/>
      <c r="F5" s="12"/>
      <c r="G5" s="12"/>
    </row>
    <row r="6" spans="1:8" ht="49.8" customHeight="1" x14ac:dyDescent="0.3">
      <c r="A6" s="8" t="s">
        <v>6</v>
      </c>
      <c r="B6" s="9"/>
      <c r="C6" s="10" t="s">
        <v>7</v>
      </c>
      <c r="D6" s="10"/>
      <c r="E6" s="12"/>
      <c r="F6" s="12"/>
      <c r="G6" s="12"/>
    </row>
    <row r="7" spans="1:8" ht="33.6" customHeight="1" x14ac:dyDescent="0.3">
      <c r="A7" s="8" t="s">
        <v>8</v>
      </c>
      <c r="B7" s="9"/>
      <c r="C7" s="10" t="s">
        <v>9</v>
      </c>
      <c r="D7" s="10"/>
      <c r="E7" s="12"/>
      <c r="F7" s="12"/>
      <c r="G7" s="12"/>
    </row>
    <row r="9" spans="1:8" ht="43.2" x14ac:dyDescent="0.3">
      <c r="A9" s="2" t="s">
        <v>10</v>
      </c>
      <c r="B9" s="2" t="s">
        <v>11</v>
      </c>
      <c r="C9" s="2" t="s">
        <v>12</v>
      </c>
      <c r="D9" s="2" t="s">
        <v>13</v>
      </c>
      <c r="E9" s="2" t="s">
        <v>14</v>
      </c>
      <c r="F9" s="2" t="s">
        <v>15</v>
      </c>
      <c r="G9" s="2" t="s">
        <v>16</v>
      </c>
      <c r="H9" s="13" t="s">
        <v>17</v>
      </c>
    </row>
    <row r="10" spans="1:8" x14ac:dyDescent="0.3">
      <c r="A10" s="3" t="s">
        <v>18</v>
      </c>
      <c r="B10" s="3"/>
      <c r="C10" s="4">
        <v>10</v>
      </c>
      <c r="D10" s="4"/>
      <c r="E10" s="4"/>
      <c r="F10" s="4"/>
      <c r="G10" s="4" t="s">
        <v>19</v>
      </c>
    </row>
    <row r="11" spans="1:8" ht="28.8" x14ac:dyDescent="0.3">
      <c r="A11" s="14" t="s">
        <v>20</v>
      </c>
      <c r="B11" s="15" t="s">
        <v>21</v>
      </c>
      <c r="C11" s="16">
        <v>2</v>
      </c>
      <c r="D11" s="17"/>
      <c r="E11" s="18"/>
      <c r="F11" s="16">
        <f>IF(E11="Yes",C11,IF(E11="Half",C11/2,0))</f>
        <v>0</v>
      </c>
      <c r="G11" s="9"/>
      <c r="H11" s="13">
        <f>IF(AND("A"="C",$E$6="No"),0,IF(E11="Yes",0,IF(E11="Half",C11/2,C11))+IF(E11="Yes",0,(1000-ROW())/100000))</f>
        <v>2.00989</v>
      </c>
    </row>
    <row r="12" spans="1:8" ht="28.8" x14ac:dyDescent="0.3">
      <c r="A12" s="14" t="s">
        <v>22</v>
      </c>
      <c r="B12" s="15" t="s">
        <v>23</v>
      </c>
      <c r="C12" s="16">
        <v>2</v>
      </c>
      <c r="D12" s="17" t="s">
        <v>13</v>
      </c>
      <c r="E12" s="18"/>
      <c r="F12" s="16">
        <f>IF(E12="Yes",C12,IF(E12="Half",C12/2,0))</f>
        <v>0</v>
      </c>
      <c r="G12" s="9"/>
      <c r="H12" s="13">
        <f>IF(AND("A"="C",$E$6="No"),0,IF(E12="Yes",0,IF(E12="Half",C12/2,C12))+IF(E12="Yes",0,(1000-ROW())/100000))</f>
        <v>2.0098799999999999</v>
      </c>
    </row>
    <row r="13" spans="1:8" ht="28.8" x14ac:dyDescent="0.3">
      <c r="A13" s="14" t="s">
        <v>24</v>
      </c>
      <c r="B13" s="15" t="s">
        <v>25</v>
      </c>
      <c r="C13" s="16">
        <v>2</v>
      </c>
      <c r="D13" s="17"/>
      <c r="E13" s="18"/>
      <c r="F13" s="16">
        <f>IF(E13="Yes",C13,IF(E13="Half",C13/2,0))</f>
        <v>0</v>
      </c>
      <c r="G13" s="9"/>
      <c r="H13" s="13">
        <f>IF(AND("A"="C",$E$6="No"),0,IF(E13="Yes",0,IF(E13="Half",C13/2,C13))+IF(E13="Yes",0,(1000-ROW())/100000))</f>
        <v>2.0098699999999998</v>
      </c>
    </row>
    <row r="14" spans="1:8" ht="28.8" x14ac:dyDescent="0.3">
      <c r="A14" s="14" t="s">
        <v>26</v>
      </c>
      <c r="B14" s="15" t="s">
        <v>27</v>
      </c>
      <c r="C14" s="16">
        <v>2</v>
      </c>
      <c r="D14" s="17"/>
      <c r="E14" s="18"/>
      <c r="F14" s="16">
        <f>IF(E14="Yes",C14,IF(E14="Half",C14/2,0))</f>
        <v>0</v>
      </c>
      <c r="G14" s="9"/>
      <c r="H14" s="13">
        <f>IF(AND("A"="C",$E$6="No"),0,IF(E14="Yes",0,IF(E14="Half",C14/2,C14))+IF(E14="Yes",0,(1000-ROW())/100000))</f>
        <v>2.0098600000000002</v>
      </c>
    </row>
    <row r="15" spans="1:8" ht="43.2" x14ac:dyDescent="0.3">
      <c r="A15" s="14" t="s">
        <v>28</v>
      </c>
      <c r="B15" s="15" t="s">
        <v>29</v>
      </c>
      <c r="C15" s="16">
        <v>2</v>
      </c>
      <c r="D15" s="17"/>
      <c r="E15" s="18"/>
      <c r="F15" s="16">
        <f>IF(E15="Yes",C15,IF(E15="Half",C15/2,0))</f>
        <v>0</v>
      </c>
      <c r="G15" s="9"/>
      <c r="H15" s="13">
        <f>IF(AND("A"="C",$E$6="No"),0,IF(E15="Yes",0,IF(E15="Half",C15/2,C15))+IF(E15="Yes",0,(1000-ROW())/100000))</f>
        <v>2.0098500000000001</v>
      </c>
    </row>
    <row r="16" spans="1:8" x14ac:dyDescent="0.3">
      <c r="A16" s="3" t="s">
        <v>30</v>
      </c>
      <c r="B16" s="3"/>
      <c r="C16" s="4">
        <v>30</v>
      </c>
      <c r="D16" s="4"/>
      <c r="E16" s="4"/>
      <c r="F16" s="4"/>
      <c r="G16" s="4" t="s">
        <v>31</v>
      </c>
    </row>
    <row r="17" spans="1:8" ht="28.8" x14ac:dyDescent="0.3">
      <c r="A17" s="14" t="s">
        <v>32</v>
      </c>
      <c r="B17" s="15" t="s">
        <v>33</v>
      </c>
      <c r="C17" s="16">
        <v>3</v>
      </c>
      <c r="D17" s="17" t="s">
        <v>13</v>
      </c>
      <c r="E17" s="18"/>
      <c r="F17" s="16">
        <f t="shared" ref="F17:F25" si="0">IF(E17="Yes",C17,IF(E17="Half",C17/2,0))</f>
        <v>0</v>
      </c>
      <c r="G17" s="9"/>
      <c r="H17" s="13">
        <f t="shared" ref="H17:H25" si="1">IF(AND("B"="C",$E$6="No"),0,IF(E17="Yes",0,IF(E17="Half",C17/2,C17))+IF(E17="Yes",0,(1000-ROW())/100000))</f>
        <v>3.00983</v>
      </c>
    </row>
    <row r="18" spans="1:8" ht="43.2" x14ac:dyDescent="0.3">
      <c r="A18" s="14" t="s">
        <v>34</v>
      </c>
      <c r="B18" s="15" t="s">
        <v>35</v>
      </c>
      <c r="C18" s="16">
        <v>3</v>
      </c>
      <c r="D18" s="17"/>
      <c r="E18" s="18"/>
      <c r="F18" s="16">
        <f t="shared" si="0"/>
        <v>0</v>
      </c>
      <c r="G18" s="9"/>
      <c r="H18" s="13">
        <f t="shared" si="1"/>
        <v>3.0098199999999999</v>
      </c>
    </row>
    <row r="19" spans="1:8" ht="43.2" x14ac:dyDescent="0.3">
      <c r="A19" s="14" t="s">
        <v>36</v>
      </c>
      <c r="B19" s="15" t="s">
        <v>37</v>
      </c>
      <c r="C19" s="16">
        <v>4</v>
      </c>
      <c r="D19" s="17"/>
      <c r="E19" s="18"/>
      <c r="F19" s="16">
        <f t="shared" si="0"/>
        <v>0</v>
      </c>
      <c r="G19" s="9"/>
      <c r="H19" s="13">
        <f t="shared" si="1"/>
        <v>4.0098099999999999</v>
      </c>
    </row>
    <row r="20" spans="1:8" ht="43.2" x14ac:dyDescent="0.3">
      <c r="A20" s="14" t="s">
        <v>38</v>
      </c>
      <c r="B20" s="15" t="s">
        <v>39</v>
      </c>
      <c r="C20" s="16">
        <v>4</v>
      </c>
      <c r="D20" s="17"/>
      <c r="E20" s="18"/>
      <c r="F20" s="16">
        <f t="shared" si="0"/>
        <v>0</v>
      </c>
      <c r="G20" s="9"/>
      <c r="H20" s="13">
        <f t="shared" si="1"/>
        <v>4.0098000000000003</v>
      </c>
    </row>
    <row r="21" spans="1:8" x14ac:dyDescent="0.3">
      <c r="A21" s="14" t="s">
        <v>40</v>
      </c>
      <c r="B21" s="15" t="s">
        <v>41</v>
      </c>
      <c r="C21" s="16">
        <v>2</v>
      </c>
      <c r="D21" s="17"/>
      <c r="E21" s="18"/>
      <c r="F21" s="16">
        <f t="shared" si="0"/>
        <v>0</v>
      </c>
      <c r="G21" s="9"/>
      <c r="H21" s="13">
        <f t="shared" si="1"/>
        <v>2.0097900000000002</v>
      </c>
    </row>
    <row r="22" spans="1:8" ht="57.6" x14ac:dyDescent="0.3">
      <c r="A22" s="14" t="s">
        <v>42</v>
      </c>
      <c r="B22" s="15" t="s">
        <v>43</v>
      </c>
      <c r="C22" s="16">
        <v>4</v>
      </c>
      <c r="D22" s="17"/>
      <c r="E22" s="18"/>
      <c r="F22" s="16">
        <f t="shared" si="0"/>
        <v>0</v>
      </c>
      <c r="G22" s="9"/>
      <c r="H22" s="13">
        <f t="shared" si="1"/>
        <v>4.0097800000000001</v>
      </c>
    </row>
    <row r="23" spans="1:8" ht="43.2" x14ac:dyDescent="0.3">
      <c r="A23" s="14" t="s">
        <v>44</v>
      </c>
      <c r="B23" s="15" t="s">
        <v>45</v>
      </c>
      <c r="C23" s="16">
        <v>3</v>
      </c>
      <c r="D23" s="17" t="s">
        <v>13</v>
      </c>
      <c r="E23" s="18"/>
      <c r="F23" s="16">
        <f t="shared" si="0"/>
        <v>0</v>
      </c>
      <c r="G23" s="9"/>
      <c r="H23" s="13">
        <f t="shared" si="1"/>
        <v>3.0097700000000001</v>
      </c>
    </row>
    <row r="24" spans="1:8" ht="28.8" x14ac:dyDescent="0.3">
      <c r="A24" s="14" t="s">
        <v>46</v>
      </c>
      <c r="B24" s="15" t="s">
        <v>47</v>
      </c>
      <c r="C24" s="16">
        <v>4</v>
      </c>
      <c r="D24" s="17" t="s">
        <v>13</v>
      </c>
      <c r="E24" s="18"/>
      <c r="F24" s="16">
        <f t="shared" si="0"/>
        <v>0</v>
      </c>
      <c r="G24" s="9"/>
      <c r="H24" s="13">
        <f t="shared" si="1"/>
        <v>4.00976</v>
      </c>
    </row>
    <row r="25" spans="1:8" ht="28.8" x14ac:dyDescent="0.3">
      <c r="A25" s="14" t="s">
        <v>48</v>
      </c>
      <c r="B25" s="15" t="s">
        <v>49</v>
      </c>
      <c r="C25" s="16">
        <v>3</v>
      </c>
      <c r="D25" s="17"/>
      <c r="E25" s="18"/>
      <c r="F25" s="16">
        <f t="shared" si="0"/>
        <v>0</v>
      </c>
      <c r="G25" s="9"/>
      <c r="H25" s="13">
        <f t="shared" si="1"/>
        <v>3.0097499999999999</v>
      </c>
    </row>
    <row r="26" spans="1:8" x14ac:dyDescent="0.3">
      <c r="A26" s="3" t="s">
        <v>50</v>
      </c>
      <c r="B26" s="3"/>
      <c r="C26" s="4">
        <v>10</v>
      </c>
      <c r="D26" s="4"/>
      <c r="E26" s="4"/>
      <c r="F26" s="4"/>
      <c r="G26" s="4" t="s">
        <v>51</v>
      </c>
    </row>
    <row r="27" spans="1:8" ht="28.8" x14ac:dyDescent="0.3">
      <c r="A27" s="14" t="s">
        <v>52</v>
      </c>
      <c r="B27" s="15" t="s">
        <v>53</v>
      </c>
      <c r="C27" s="16">
        <v>3</v>
      </c>
      <c r="D27" s="17"/>
      <c r="E27" s="18"/>
      <c r="F27" s="16">
        <f>IF($E$6="No",0,IF(E27="Yes",C27,IF(E27="Half",C27/2,0)))</f>
        <v>0</v>
      </c>
      <c r="G27" s="9"/>
      <c r="H27" s="13">
        <f>IF(AND("C"="C",$E$6="No"),0,IF(E27="Yes",0,IF(E27="Half",C27/2,C27))+IF(E27="Yes",0,(1000-ROW())/100000))</f>
        <v>3.0097299999999998</v>
      </c>
    </row>
    <row r="28" spans="1:8" ht="28.8" x14ac:dyDescent="0.3">
      <c r="A28" s="14" t="s">
        <v>54</v>
      </c>
      <c r="B28" s="15" t="s">
        <v>55</v>
      </c>
      <c r="C28" s="16">
        <v>3</v>
      </c>
      <c r="D28" s="17"/>
      <c r="E28" s="18"/>
      <c r="F28" s="16">
        <f>IF($E$6="No",0,IF(E28="Yes",C28,IF(E28="Half",C28/2,0)))</f>
        <v>0</v>
      </c>
      <c r="G28" s="9"/>
      <c r="H28" s="13">
        <f>IF(AND("C"="C",$E$6="No"),0,IF(E28="Yes",0,IF(E28="Half",C28/2,C28))+IF(E28="Yes",0,(1000-ROW())/100000))</f>
        <v>3.0097200000000002</v>
      </c>
    </row>
    <row r="29" spans="1:8" ht="28.8" x14ac:dyDescent="0.3">
      <c r="A29" s="14" t="s">
        <v>56</v>
      </c>
      <c r="B29" s="15" t="s">
        <v>57</v>
      </c>
      <c r="C29" s="16">
        <v>2</v>
      </c>
      <c r="D29" s="17"/>
      <c r="E29" s="18"/>
      <c r="F29" s="16">
        <f>IF($E$6="No",0,IF(E29="Yes",C29,IF(E29="Half",C29/2,0)))</f>
        <v>0</v>
      </c>
      <c r="G29" s="9"/>
      <c r="H29" s="13">
        <f>IF(AND("C"="C",$E$6="No"),0,IF(E29="Yes",0,IF(E29="Half",C29/2,C29))+IF(E29="Yes",0,(1000-ROW())/100000))</f>
        <v>2.0097100000000001</v>
      </c>
    </row>
    <row r="30" spans="1:8" ht="43.2" x14ac:dyDescent="0.3">
      <c r="A30" s="14" t="s">
        <v>58</v>
      </c>
      <c r="B30" s="15" t="s">
        <v>59</v>
      </c>
      <c r="C30" s="16">
        <v>2</v>
      </c>
      <c r="D30" s="17"/>
      <c r="E30" s="18"/>
      <c r="F30" s="16">
        <f>IF($E$6="No",0,IF(E30="Yes",C30,IF(E30="Half",C30/2,0)))</f>
        <v>0</v>
      </c>
      <c r="G30" s="9"/>
      <c r="H30" s="13">
        <f>IF(AND("C"="C",$E$6="No"),0,IF(E30="Yes",0,IF(E30="Half",C30/2,C30))+IF(E30="Yes",0,(1000-ROW())/100000))</f>
        <v>2.0097</v>
      </c>
    </row>
    <row r="31" spans="1:8" x14ac:dyDescent="0.3">
      <c r="A31" s="3" t="s">
        <v>60</v>
      </c>
      <c r="B31" s="3"/>
      <c r="C31" s="4">
        <v>12</v>
      </c>
      <c r="D31" s="4"/>
      <c r="E31" s="4"/>
      <c r="F31" s="4"/>
      <c r="G31" s="4" t="s">
        <v>61</v>
      </c>
    </row>
    <row r="32" spans="1:8" ht="57.6" x14ac:dyDescent="0.3">
      <c r="A32" s="14" t="s">
        <v>62</v>
      </c>
      <c r="B32" s="15" t="s">
        <v>63</v>
      </c>
      <c r="C32" s="16">
        <v>4</v>
      </c>
      <c r="D32" s="17" t="s">
        <v>13</v>
      </c>
      <c r="E32" s="18"/>
      <c r="F32" s="16">
        <f>IF(E32="Yes",C32,IF(E32="Half",C32/2,0))</f>
        <v>0</v>
      </c>
      <c r="G32" s="9"/>
      <c r="H32" s="13">
        <f>IF(AND("D"="C",$E$6="No"),0,IF(E32="Yes",0,IF(E32="Half",C32/2,C32))+IF(E32="Yes",0,(1000-ROW())/100000))</f>
        <v>4.0096800000000004</v>
      </c>
    </row>
    <row r="33" spans="1:8" ht="43.2" x14ac:dyDescent="0.3">
      <c r="A33" s="14" t="s">
        <v>64</v>
      </c>
      <c r="B33" s="15" t="s">
        <v>65</v>
      </c>
      <c r="C33" s="16">
        <v>3</v>
      </c>
      <c r="D33" s="17"/>
      <c r="E33" s="18"/>
      <c r="F33" s="16">
        <f>IF(E33="Yes",C33,IF(E33="Half",C33/2,0))</f>
        <v>0</v>
      </c>
      <c r="G33" s="9"/>
      <c r="H33" s="13">
        <f>IF(AND("D"="C",$E$6="No"),0,IF(E33="Yes",0,IF(E33="Half",C33/2,C33))+IF(E33="Yes",0,(1000-ROW())/100000))</f>
        <v>3.0096699999999998</v>
      </c>
    </row>
    <row r="34" spans="1:8" ht="28.8" x14ac:dyDescent="0.3">
      <c r="A34" s="14" t="s">
        <v>66</v>
      </c>
      <c r="B34" s="15" t="s">
        <v>67</v>
      </c>
      <c r="C34" s="16">
        <v>2</v>
      </c>
      <c r="D34" s="17"/>
      <c r="E34" s="18"/>
      <c r="F34" s="16">
        <f>IF(E34="Yes",C34,IF(E34="Half",C34/2,0))</f>
        <v>0</v>
      </c>
      <c r="G34" s="9"/>
      <c r="H34" s="13">
        <f>IF(AND("D"="C",$E$6="No"),0,IF(E34="Yes",0,IF(E34="Half",C34/2,C34))+IF(E34="Yes",0,(1000-ROW())/100000))</f>
        <v>2.0096599999999998</v>
      </c>
    </row>
    <row r="35" spans="1:8" ht="43.2" x14ac:dyDescent="0.3">
      <c r="A35" s="14" t="s">
        <v>68</v>
      </c>
      <c r="B35" s="15" t="s">
        <v>69</v>
      </c>
      <c r="C35" s="16">
        <v>3</v>
      </c>
      <c r="D35" s="17"/>
      <c r="E35" s="18"/>
      <c r="F35" s="16">
        <f>IF(E35="Yes",C35,IF(E35="Half",C35/2,0))</f>
        <v>0</v>
      </c>
      <c r="G35" s="9"/>
      <c r="H35" s="13">
        <f>IF(AND("D"="C",$E$6="No"),0,IF(E35="Yes",0,IF(E35="Half",C35/2,C35))+IF(E35="Yes",0,(1000-ROW())/100000))</f>
        <v>3.0096500000000002</v>
      </c>
    </row>
    <row r="36" spans="1:8" x14ac:dyDescent="0.3">
      <c r="A36" s="3" t="s">
        <v>70</v>
      </c>
      <c r="B36" s="3"/>
      <c r="C36" s="4">
        <v>12</v>
      </c>
      <c r="D36" s="4"/>
      <c r="E36" s="4"/>
      <c r="F36" s="4"/>
      <c r="G36" s="4" t="s">
        <v>71</v>
      </c>
    </row>
    <row r="37" spans="1:8" ht="43.2" x14ac:dyDescent="0.3">
      <c r="A37" s="14" t="s">
        <v>72</v>
      </c>
      <c r="B37" s="15" t="s">
        <v>73</v>
      </c>
      <c r="C37" s="16">
        <v>3</v>
      </c>
      <c r="D37" s="17"/>
      <c r="E37" s="18"/>
      <c r="F37" s="16">
        <f>IF(E37="Yes",C37,IF(E37="Half",C37/2,0))</f>
        <v>0</v>
      </c>
      <c r="G37" s="9"/>
      <c r="H37" s="13">
        <f>IF(AND("E"="C",$E$6="No"),0,IF(E37="Yes",0,IF(E37="Half",C37/2,C37))+IF(E37="Yes",0,(1000-ROW())/100000))</f>
        <v>3.00963</v>
      </c>
    </row>
    <row r="38" spans="1:8" ht="57.6" x14ac:dyDescent="0.3">
      <c r="A38" s="14" t="s">
        <v>74</v>
      </c>
      <c r="B38" s="15" t="s">
        <v>75</v>
      </c>
      <c r="C38" s="16">
        <v>4</v>
      </c>
      <c r="D38" s="17" t="s">
        <v>13</v>
      </c>
      <c r="E38" s="18"/>
      <c r="F38" s="16">
        <f>IF(E38="Yes",C38,IF(E38="Half",C38/2,0))</f>
        <v>0</v>
      </c>
      <c r="G38" s="9"/>
      <c r="H38" s="13">
        <f>IF(AND("E"="C",$E$6="No"),0,IF(E38="Yes",0,IF(E38="Half",C38/2,C38))+IF(E38="Yes",0,(1000-ROW())/100000))</f>
        <v>4.00962</v>
      </c>
    </row>
    <row r="39" spans="1:8" ht="28.8" x14ac:dyDescent="0.3">
      <c r="A39" s="14" t="s">
        <v>76</v>
      </c>
      <c r="B39" s="15" t="s">
        <v>77</v>
      </c>
      <c r="C39" s="16">
        <v>3</v>
      </c>
      <c r="D39" s="17" t="s">
        <v>13</v>
      </c>
      <c r="E39" s="18"/>
      <c r="F39" s="16">
        <f>IF(E39="Yes",C39,IF(E39="Half",C39/2,0))</f>
        <v>0</v>
      </c>
      <c r="G39" s="9"/>
      <c r="H39" s="13">
        <f>IF(AND("E"="C",$E$6="No"),0,IF(E39="Yes",0,IF(E39="Half",C39/2,C39))+IF(E39="Yes",0,(1000-ROW())/100000))</f>
        <v>3.0096099999999999</v>
      </c>
    </row>
    <row r="40" spans="1:8" ht="43.2" x14ac:dyDescent="0.3">
      <c r="A40" s="14" t="s">
        <v>78</v>
      </c>
      <c r="B40" s="15" t="s">
        <v>79</v>
      </c>
      <c r="C40" s="16">
        <v>2</v>
      </c>
      <c r="D40" s="17"/>
      <c r="E40" s="18"/>
      <c r="F40" s="16">
        <f>IF(E40="Yes",C40,IF(E40="Half",C40/2,0))</f>
        <v>0</v>
      </c>
      <c r="G40" s="9"/>
      <c r="H40" s="13">
        <f>IF(AND("E"="C",$E$6="No"),0,IF(E40="Yes",0,IF(E40="Half",C40/2,C40))+IF(E40="Yes",0,(1000-ROW())/100000))</f>
        <v>2.0095999999999998</v>
      </c>
    </row>
    <row r="41" spans="1:8" x14ac:dyDescent="0.3">
      <c r="A41" s="3" t="s">
        <v>80</v>
      </c>
      <c r="B41" s="3"/>
      <c r="C41" s="4">
        <v>14</v>
      </c>
      <c r="D41" s="4"/>
      <c r="E41" s="4"/>
      <c r="F41" s="4"/>
      <c r="G41" s="4" t="s">
        <v>81</v>
      </c>
    </row>
    <row r="42" spans="1:8" ht="28.8" x14ac:dyDescent="0.3">
      <c r="A42" s="14" t="s">
        <v>82</v>
      </c>
      <c r="B42" s="15" t="s">
        <v>83</v>
      </c>
      <c r="C42" s="16">
        <v>3</v>
      </c>
      <c r="D42" s="17"/>
      <c r="E42" s="18"/>
      <c r="F42" s="16">
        <f>IF(E42="Yes",C42,IF(E42="Half",C42/2,0))</f>
        <v>0</v>
      </c>
      <c r="G42" s="9"/>
      <c r="H42" s="13">
        <f>IF(AND("F"="C",$E$6="No"),0,IF(E42="Yes",0,IF(E42="Half",C42/2,C42))+IF(E42="Yes",0,(1000-ROW())/100000))</f>
        <v>3.0095800000000001</v>
      </c>
    </row>
    <row r="43" spans="1:8" ht="43.2" x14ac:dyDescent="0.3">
      <c r="A43" s="14" t="s">
        <v>84</v>
      </c>
      <c r="B43" s="15" t="s">
        <v>85</v>
      </c>
      <c r="C43" s="16">
        <v>4</v>
      </c>
      <c r="D43" s="17" t="s">
        <v>13</v>
      </c>
      <c r="E43" s="18"/>
      <c r="F43" s="16">
        <f>IF(E43="Yes",C43,IF(E43="Half",C43/2,0))</f>
        <v>0</v>
      </c>
      <c r="G43" s="9"/>
      <c r="H43" s="13">
        <f>IF(AND("F"="C",$E$6="No"),0,IF(E43="Yes",0,IF(E43="Half",C43/2,C43))+IF(E43="Yes",0,(1000-ROW())/100000))</f>
        <v>4.0095700000000001</v>
      </c>
    </row>
    <row r="44" spans="1:8" ht="57.6" x14ac:dyDescent="0.3">
      <c r="A44" s="14" t="s">
        <v>86</v>
      </c>
      <c r="B44" s="15" t="s">
        <v>87</v>
      </c>
      <c r="C44" s="16">
        <v>3</v>
      </c>
      <c r="D44" s="17"/>
      <c r="E44" s="18"/>
      <c r="F44" s="16">
        <f>IF(E44="Yes",C44,IF(E44="Half",C44/2,0))</f>
        <v>0</v>
      </c>
      <c r="G44" s="9"/>
      <c r="H44" s="13">
        <f>IF(AND("F"="C",$E$6="No"),0,IF(E44="Yes",0,IF(E44="Half",C44/2,C44))+IF(E44="Yes",0,(1000-ROW())/100000))</f>
        <v>3.00956</v>
      </c>
    </row>
    <row r="45" spans="1:8" ht="28.8" x14ac:dyDescent="0.3">
      <c r="A45" s="14" t="s">
        <v>88</v>
      </c>
      <c r="B45" s="15" t="s">
        <v>89</v>
      </c>
      <c r="C45" s="16">
        <v>2</v>
      </c>
      <c r="D45" s="17"/>
      <c r="E45" s="18"/>
      <c r="F45" s="16">
        <f>IF(E45="Yes",C45,IF(E45="Half",C45/2,0))</f>
        <v>0</v>
      </c>
      <c r="G45" s="9"/>
      <c r="H45" s="13">
        <f>IF(AND("F"="C",$E$6="No"),0,IF(E45="Yes",0,IF(E45="Half",C45/2,C45))+IF(E45="Yes",0,(1000-ROW())/100000))</f>
        <v>2.0095499999999999</v>
      </c>
    </row>
    <row r="46" spans="1:8" ht="28.8" x14ac:dyDescent="0.3">
      <c r="A46" s="14" t="s">
        <v>90</v>
      </c>
      <c r="B46" s="15" t="s">
        <v>91</v>
      </c>
      <c r="C46" s="16">
        <v>2</v>
      </c>
      <c r="D46" s="17"/>
      <c r="E46" s="18"/>
      <c r="F46" s="16">
        <f>IF(E46="Yes",C46,IF(E46="Half",C46/2,0))</f>
        <v>0</v>
      </c>
      <c r="G46" s="9"/>
      <c r="H46" s="13">
        <f>IF(AND("F"="C",$E$6="No"),0,IF(E46="Yes",0,IF(E46="Half",C46/2,C46))+IF(E46="Yes",0,(1000-ROW())/100000))</f>
        <v>2.0095399999999999</v>
      </c>
    </row>
    <row r="47" spans="1:8" x14ac:dyDescent="0.3">
      <c r="A47" s="3" t="s">
        <v>92</v>
      </c>
      <c r="B47" s="3"/>
      <c r="C47" s="4">
        <v>12</v>
      </c>
      <c r="D47" s="4"/>
      <c r="E47" s="4"/>
      <c r="F47" s="4"/>
      <c r="G47" s="4" t="s">
        <v>93</v>
      </c>
    </row>
    <row r="48" spans="1:8" ht="28.8" x14ac:dyDescent="0.3">
      <c r="A48" s="14" t="s">
        <v>94</v>
      </c>
      <c r="B48" s="15" t="s">
        <v>95</v>
      </c>
      <c r="C48" s="16">
        <v>3</v>
      </c>
      <c r="D48" s="17"/>
      <c r="E48" s="18"/>
      <c r="F48" s="16">
        <f>IF(E48="Yes",C48,IF(E48="Half",C48/2,0))</f>
        <v>0</v>
      </c>
      <c r="G48" s="9"/>
      <c r="H48" s="13">
        <f>IF(AND("G"="C",$E$6="No"),0,IF(E48="Yes",0,IF(E48="Half",C48/2,C48))+IF(E48="Yes",0,(1000-ROW())/100000))</f>
        <v>3.0095200000000002</v>
      </c>
    </row>
    <row r="49" spans="1:8" ht="57.6" x14ac:dyDescent="0.3">
      <c r="A49" s="14" t="s">
        <v>96</v>
      </c>
      <c r="B49" s="15" t="s">
        <v>97</v>
      </c>
      <c r="C49" s="16">
        <v>4</v>
      </c>
      <c r="D49" s="17" t="s">
        <v>13</v>
      </c>
      <c r="E49" s="18"/>
      <c r="F49" s="16">
        <f>IF(E49="Yes",C49,IF(E49="Half",C49/2,0))</f>
        <v>0</v>
      </c>
      <c r="G49" s="9"/>
      <c r="H49" s="13">
        <f>IF(AND("G"="C",$E$6="No"),0,IF(E49="Yes",0,IF(E49="Half",C49/2,C49))+IF(E49="Yes",0,(1000-ROW())/100000))</f>
        <v>4.0095099999999997</v>
      </c>
    </row>
    <row r="50" spans="1:8" ht="43.2" x14ac:dyDescent="0.3">
      <c r="A50" s="14" t="s">
        <v>98</v>
      </c>
      <c r="B50" s="15" t="s">
        <v>99</v>
      </c>
      <c r="C50" s="16">
        <v>3</v>
      </c>
      <c r="D50" s="17"/>
      <c r="E50" s="18"/>
      <c r="F50" s="16">
        <f>IF(E50="Yes",C50,IF(E50="Half",C50/2,0))</f>
        <v>0</v>
      </c>
      <c r="G50" s="9"/>
      <c r="H50" s="13">
        <f>IF(AND("G"="C",$E$6="No"),0,IF(E50="Yes",0,IF(E50="Half",C50/2,C50))+IF(E50="Yes",0,(1000-ROW())/100000))</f>
        <v>3.0095000000000001</v>
      </c>
    </row>
    <row r="51" spans="1:8" ht="43.2" x14ac:dyDescent="0.3">
      <c r="A51" s="14" t="s">
        <v>100</v>
      </c>
      <c r="B51" s="15" t="s">
        <v>101</v>
      </c>
      <c r="C51" s="16">
        <v>2</v>
      </c>
      <c r="D51" s="17"/>
      <c r="E51" s="18"/>
      <c r="F51" s="16">
        <f>IF(E51="Yes",C51,IF(E51="Half",C51/2,0))</f>
        <v>0</v>
      </c>
      <c r="G51" s="9"/>
      <c r="H51" s="13">
        <f>IF(AND("G"="C",$E$6="No"),0,IF(E51="Yes",0,IF(E51="Half",C51/2,C51))+IF(E51="Yes",0,(1000-ROW())/100000))</f>
        <v>2.00949</v>
      </c>
    </row>
    <row r="53" spans="1:8" x14ac:dyDescent="0.3">
      <c r="A53" s="10" t="s">
        <v>102</v>
      </c>
      <c r="B53" s="10"/>
      <c r="C53" s="1" t="str">
        <f>IF(OR(E4="",E5=""),"Fill length &amp; same-day",IF(AND(E4&gt;=15,E4&lt;=25,E5="Yes"),"YES","NO — not accepted"))</f>
        <v>Fill length &amp; same-day</v>
      </c>
      <c r="D53" s="1"/>
      <c r="E53" s="1"/>
      <c r="F53" s="1"/>
      <c r="G53" s="1"/>
    </row>
    <row r="54" spans="1:8" x14ac:dyDescent="0.3">
      <c r="A54" s="10" t="s">
        <v>103</v>
      </c>
      <c r="B54" s="10"/>
      <c r="C54" s="1">
        <f>100-IF(E6="No",10,0)</f>
        <v>100</v>
      </c>
      <c r="D54" s="1"/>
      <c r="E54" s="1"/>
      <c r="F54" s="1"/>
      <c r="G54" s="1"/>
    </row>
    <row r="55" spans="1:8" x14ac:dyDescent="0.3">
      <c r="A55" s="10" t="s">
        <v>104</v>
      </c>
      <c r="B55" s="10"/>
      <c r="C55" s="1">
        <f>SUM(F11:F51)</f>
        <v>0</v>
      </c>
      <c r="D55" s="1"/>
      <c r="E55" s="1"/>
      <c r="F55" s="1"/>
      <c r="G55" s="1"/>
    </row>
    <row r="56" spans="1:8" x14ac:dyDescent="0.3">
      <c r="A56" s="10" t="s">
        <v>105</v>
      </c>
      <c r="B56" s="10"/>
      <c r="C56" s="1">
        <f>ROUND(C55/C54*100,0)</f>
        <v>0</v>
      </c>
      <c r="D56" s="1"/>
      <c r="E56" s="1"/>
      <c r="F56" s="1"/>
      <c r="G56" s="1"/>
    </row>
    <row r="57" spans="1:8" x14ac:dyDescent="0.3">
      <c r="A57" s="10" t="s">
        <v>106</v>
      </c>
      <c r="B57" s="10"/>
      <c r="C57" s="1">
        <f>IF(E12&lt;&gt;"Yes",1,0)+IF(E17&lt;&gt;"Yes",1,0)+IF(E23&lt;&gt;"Yes",1,0)+IF(E24&lt;&gt;"Yes",1,0)+IF(E32&lt;&gt;"Yes",1,0)+IF(E38&lt;&gt;"Yes",1,0)+IF(E39&lt;&gt;"Yes",1,0)+IF(E43&lt;&gt;"Yes",1,0)+IF(E49&lt;&gt;"Yes",1,0)</f>
        <v>9</v>
      </c>
      <c r="D57" s="1"/>
      <c r="E57" s="1"/>
      <c r="F57" s="1"/>
      <c r="G57" s="1"/>
    </row>
    <row r="58" spans="1:8" x14ac:dyDescent="0.3">
      <c r="A58" s="10" t="s">
        <v>107</v>
      </c>
      <c r="B58" s="10"/>
      <c r="C58" s="1" t="str">
        <f>IF(C57=0,"None",_xlfn.TEXTJOIN(", ",TRUE(),IF(E12&lt;&gt;"Yes",A12,""),IF(E17&lt;&gt;"Yes",A17,""),IF(E23&lt;&gt;"Yes",A23,""),IF(E24&lt;&gt;"Yes",A24,""),IF(E32&lt;&gt;"Yes",A32,""),IF(E38&lt;&gt;"Yes",A38,""),IF(E39&lt;&gt;"Yes",A39,""),IF(E43&lt;&gt;"Yes",A43,""),IF(E49&lt;&gt;"Yes",A49,"")))</f>
        <v>A2, B1, B7, B8, D1, E2, E3, F2, G2</v>
      </c>
      <c r="D58" s="1"/>
      <c r="E58" s="1"/>
      <c r="F58" s="1"/>
      <c r="G58" s="1"/>
    </row>
    <row r="59" spans="1:8" x14ac:dyDescent="0.3">
      <c r="A59" s="10" t="s">
        <v>108</v>
      </c>
      <c r="B59" s="10"/>
      <c r="C59" s="1" t="str">
        <f>IF(C53&lt;&gt;"YES","NOT ACCEPTED — recording under 15 min / over 25 min / not same day. Record again.",IF(C57&gt;0,"NOT ACCEPTED — MUST item(s) missed: "&amp;C58&amp;". Record the missed points again.",IF(C56&gt;=90,"EXCELLENT — accepted. Score "&amp;C56&amp;"/100.",IF(C56&gt;=75,"ACCEPTED — Score "&amp;C56&amp;"/100. See My Result for what to do better.","NOT ACCEPTED — Score "&amp;C56&amp;"/100 is below 75. Record the missed points again."))))</f>
        <v>NOT ACCEPTED — recording under 15 min / over 25 min / not same day. Record again.</v>
      </c>
      <c r="D59" s="1"/>
      <c r="E59" s="1"/>
      <c r="F59" s="1"/>
      <c r="G59" s="1"/>
    </row>
  </sheetData>
  <mergeCells count="31">
    <mergeCell ref="A1:G1"/>
    <mergeCell ref="A2:G2"/>
    <mergeCell ref="C4:D4"/>
    <mergeCell ref="E4:G4"/>
    <mergeCell ref="C5:D5"/>
    <mergeCell ref="E5:G5"/>
    <mergeCell ref="C6:D6"/>
    <mergeCell ref="E6:G6"/>
    <mergeCell ref="C7:D7"/>
    <mergeCell ref="E7:G7"/>
    <mergeCell ref="A10:B10"/>
    <mergeCell ref="A16:B16"/>
    <mergeCell ref="A26:B26"/>
    <mergeCell ref="A31:B31"/>
    <mergeCell ref="A36:B36"/>
    <mergeCell ref="A41:B41"/>
    <mergeCell ref="A47:B47"/>
    <mergeCell ref="A53:B53"/>
    <mergeCell ref="C53:G53"/>
    <mergeCell ref="A54:B54"/>
    <mergeCell ref="C54:G54"/>
    <mergeCell ref="A58:B58"/>
    <mergeCell ref="C58:G58"/>
    <mergeCell ref="A59:B59"/>
    <mergeCell ref="C59:G59"/>
    <mergeCell ref="A55:B55"/>
    <mergeCell ref="C55:G55"/>
    <mergeCell ref="A56:B56"/>
    <mergeCell ref="C56:G56"/>
    <mergeCell ref="A57:B57"/>
    <mergeCell ref="C57:G57"/>
  </mergeCells>
  <conditionalFormatting sqref="C59">
    <cfRule type="expression" dxfId="11" priority="2">
      <formula>LEFT(C59,3)="NOT"</formula>
    </cfRule>
    <cfRule type="expression" dxfId="10" priority="3">
      <formula>LEFT(C59,3)&lt;&gt;"NOT"</formula>
    </cfRule>
  </conditionalFormatting>
  <conditionalFormatting sqref="E11:E51">
    <cfRule type="cellIs" dxfId="9" priority="4" operator="equal">
      <formula>"No"</formula>
    </cfRule>
    <cfRule type="cellIs" dxfId="8" priority="5" operator="equal">
      <formula>"Half"</formula>
    </cfRule>
    <cfRule type="cellIs" dxfId="7" priority="6" operator="equal">
      <formula>"Yes"</formula>
    </cfRule>
  </conditionalFormatting>
  <dataValidations count="2">
    <dataValidation type="list" allowBlank="1" sqref="E5:E6" xr:uid="{00000000-0002-0000-0000-000000000000}">
      <formula1>"Yes,No"</formula1>
      <formula2>0</formula2>
    </dataValidation>
    <dataValidation type="list" allowBlank="1" sqref="E11:E15 E17:E25 E27:E30 E32:E35 E37:E40 E42:E46 E48:E51" xr:uid="{00000000-0002-0000-0000-000001000000}">
      <formula1>"Yes,Half,No"</formula1>
      <formula2>0</formula2>
    </dataValidation>
  </dataValidations>
  <printOptions horizontalCentered="1"/>
  <pageMargins left="0.75" right="0.7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496"/>
    <pageSetUpPr fitToPage="1"/>
  </sheetPr>
  <dimension ref="A1:F72"/>
  <sheetViews>
    <sheetView topLeftCell="A67" zoomScaleNormal="100" workbookViewId="0">
      <selection activeCell="B76" sqref="B76"/>
    </sheetView>
  </sheetViews>
  <sheetFormatPr defaultColWidth="8.6640625" defaultRowHeight="14.4" x14ac:dyDescent="0.3"/>
  <cols>
    <col min="1" max="1" width="7" style="6" customWidth="1"/>
    <col min="2" max="2" width="70" style="6" customWidth="1"/>
    <col min="3" max="4" width="9" style="6" customWidth="1"/>
    <col min="5" max="5" width="12" style="6" customWidth="1"/>
    <col min="6" max="6" width="30" style="6" customWidth="1"/>
    <col min="7" max="16384" width="8.6640625" style="6"/>
  </cols>
  <sheetData>
    <row r="1" spans="1:6" ht="21" x14ac:dyDescent="0.3">
      <c r="A1" s="19" t="s">
        <v>109</v>
      </c>
      <c r="B1" s="19"/>
      <c r="C1" s="19"/>
      <c r="D1" s="19"/>
      <c r="E1" s="19"/>
      <c r="F1" s="19"/>
    </row>
    <row r="2" spans="1:6" x14ac:dyDescent="0.3">
      <c r="A2" s="20" t="s">
        <v>110</v>
      </c>
      <c r="B2" s="20"/>
      <c r="C2" s="20"/>
      <c r="D2" s="20"/>
      <c r="E2" s="20"/>
      <c r="F2" s="20"/>
    </row>
    <row r="4" spans="1:6" x14ac:dyDescent="0.3">
      <c r="A4" s="21" t="s">
        <v>111</v>
      </c>
      <c r="B4" s="21"/>
      <c r="C4" s="22">
        <f>Scorecard!B6</f>
        <v>0</v>
      </c>
      <c r="D4" s="22"/>
      <c r="E4" s="22"/>
      <c r="F4" s="22"/>
    </row>
    <row r="5" spans="1:6" x14ac:dyDescent="0.3">
      <c r="A5" s="21" t="s">
        <v>112</v>
      </c>
      <c r="B5" s="21"/>
      <c r="C5" s="22">
        <f>Scorecard!B5</f>
        <v>0</v>
      </c>
      <c r="D5" s="22"/>
      <c r="E5" s="22"/>
      <c r="F5" s="22"/>
    </row>
    <row r="6" spans="1:6" x14ac:dyDescent="0.3">
      <c r="A6" s="21" t="s">
        <v>2</v>
      </c>
      <c r="B6" s="21"/>
      <c r="C6" s="22">
        <f>Scorecard!B4</f>
        <v>0</v>
      </c>
      <c r="D6" s="22"/>
      <c r="E6" s="22"/>
      <c r="F6" s="22"/>
    </row>
    <row r="7" spans="1:6" x14ac:dyDescent="0.3">
      <c r="A7" s="21" t="s">
        <v>113</v>
      </c>
      <c r="B7" s="21"/>
      <c r="C7" s="22">
        <f>Scorecard!B7</f>
        <v>0</v>
      </c>
      <c r="D7" s="22"/>
      <c r="E7" s="22"/>
      <c r="F7" s="22"/>
    </row>
    <row r="8" spans="1:6" x14ac:dyDescent="0.3">
      <c r="A8" s="21" t="s">
        <v>114</v>
      </c>
      <c r="B8" s="21"/>
      <c r="C8" s="23">
        <f>Scorecard!E4</f>
        <v>0</v>
      </c>
      <c r="D8" s="23"/>
      <c r="E8" s="23"/>
      <c r="F8" s="23"/>
    </row>
    <row r="9" spans="1:6" x14ac:dyDescent="0.3">
      <c r="A9" s="24"/>
      <c r="B9" s="24"/>
      <c r="C9" s="24"/>
      <c r="D9" s="24"/>
      <c r="E9" s="24"/>
      <c r="F9" s="24"/>
    </row>
    <row r="10" spans="1:6" ht="25.8" x14ac:dyDescent="0.3">
      <c r="A10" s="25" t="s">
        <v>115</v>
      </c>
      <c r="B10" s="25"/>
      <c r="C10" s="26" t="str">
        <f>Scorecard!C56&amp;" / 100"</f>
        <v>0 / 100</v>
      </c>
      <c r="D10" s="26"/>
      <c r="E10" s="26"/>
      <c r="F10" s="26"/>
    </row>
    <row r="11" spans="1:6" ht="45.6" customHeight="1" x14ac:dyDescent="0.3">
      <c r="A11" s="25" t="s">
        <v>108</v>
      </c>
      <c r="B11" s="25"/>
      <c r="C11" s="27" t="str">
        <f>Scorecard!C59</f>
        <v>NOT ACCEPTED — recording under 15 min / over 25 min / not same day. Record again.</v>
      </c>
      <c r="D11" s="27"/>
      <c r="E11" s="27"/>
      <c r="F11" s="27"/>
    </row>
    <row r="12" spans="1:6" x14ac:dyDescent="0.3">
      <c r="A12" s="28" t="s">
        <v>116</v>
      </c>
      <c r="B12" s="28"/>
      <c r="C12" s="28"/>
      <c r="D12" s="28"/>
      <c r="E12" s="28"/>
      <c r="F12" s="28"/>
    </row>
    <row r="13" spans="1:6" x14ac:dyDescent="0.3">
      <c r="A13" s="24"/>
      <c r="B13" s="24"/>
      <c r="C13" s="24"/>
      <c r="D13" s="24"/>
      <c r="E13" s="24"/>
      <c r="F13" s="24"/>
    </row>
    <row r="14" spans="1:6" x14ac:dyDescent="0.3">
      <c r="A14" s="29"/>
      <c r="B14" s="29" t="s">
        <v>117</v>
      </c>
      <c r="C14" s="29" t="s">
        <v>12</v>
      </c>
      <c r="D14" s="29" t="s">
        <v>118</v>
      </c>
      <c r="E14" s="29" t="s">
        <v>119</v>
      </c>
      <c r="F14" s="29" t="s">
        <v>120</v>
      </c>
    </row>
    <row r="15" spans="1:6" x14ac:dyDescent="0.3">
      <c r="A15" s="30" t="s">
        <v>121</v>
      </c>
      <c r="B15" s="31" t="s">
        <v>122</v>
      </c>
      <c r="C15" s="32">
        <v>10</v>
      </c>
      <c r="D15" s="32">
        <f>IF(C15="N/A","N/A",SUM(Scorecard!F11:F15))</f>
        <v>0</v>
      </c>
      <c r="E15" s="32" t="str">
        <f t="shared" ref="E15:E21" si="0">IF(C15="N/A","N/A",ROUND(D15/C15*100,0)&amp;"%")</f>
        <v>0%</v>
      </c>
      <c r="F15" s="31" t="str">
        <f t="shared" ref="F15:F21" si="1">IF(C15="N/A","Not applicable in this case",IF(D15=C15,"Fully covered",IF(D15&gt;=C15*0.75,"Good — small gaps",IF(D15&gt;=C15*0.5,"Weak — see items below","Mostly missed — see items below"))))</f>
        <v>Mostly missed — see items below</v>
      </c>
    </row>
    <row r="16" spans="1:6" x14ac:dyDescent="0.3">
      <c r="A16" s="30" t="s">
        <v>123</v>
      </c>
      <c r="B16" s="31" t="s">
        <v>124</v>
      </c>
      <c r="C16" s="32">
        <v>30</v>
      </c>
      <c r="D16" s="32">
        <f>IF(C16="N/A","N/A",SUM(Scorecard!F17:F25))</f>
        <v>0</v>
      </c>
      <c r="E16" s="32" t="str">
        <f t="shared" si="0"/>
        <v>0%</v>
      </c>
      <c r="F16" s="31" t="str">
        <f t="shared" si="1"/>
        <v>Mostly missed — see items below</v>
      </c>
    </row>
    <row r="17" spans="1:6" x14ac:dyDescent="0.3">
      <c r="A17" s="30" t="s">
        <v>125</v>
      </c>
      <c r="B17" s="31" t="s">
        <v>126</v>
      </c>
      <c r="C17" s="32">
        <f>IF(Scorecard!$E$6="No","N/A",10)</f>
        <v>10</v>
      </c>
      <c r="D17" s="32">
        <f>IF(C17="N/A","N/A",SUM(Scorecard!F27:F30))</f>
        <v>0</v>
      </c>
      <c r="E17" s="32" t="str">
        <f t="shared" si="0"/>
        <v>0%</v>
      </c>
      <c r="F17" s="31" t="str">
        <f t="shared" si="1"/>
        <v>Mostly missed — see items below</v>
      </c>
    </row>
    <row r="18" spans="1:6" x14ac:dyDescent="0.3">
      <c r="A18" s="30" t="s">
        <v>127</v>
      </c>
      <c r="B18" s="31" t="s">
        <v>128</v>
      </c>
      <c r="C18" s="32">
        <v>12</v>
      </c>
      <c r="D18" s="32">
        <f>IF(C18="N/A","N/A",SUM(Scorecard!F32:F35))</f>
        <v>0</v>
      </c>
      <c r="E18" s="32" t="str">
        <f t="shared" si="0"/>
        <v>0%</v>
      </c>
      <c r="F18" s="31" t="str">
        <f t="shared" si="1"/>
        <v>Mostly missed — see items below</v>
      </c>
    </row>
    <row r="19" spans="1:6" x14ac:dyDescent="0.3">
      <c r="A19" s="30" t="s">
        <v>129</v>
      </c>
      <c r="B19" s="31" t="s">
        <v>130</v>
      </c>
      <c r="C19" s="32">
        <v>12</v>
      </c>
      <c r="D19" s="32">
        <f>IF(C19="N/A","N/A",SUM(Scorecard!F37:F40))</f>
        <v>0</v>
      </c>
      <c r="E19" s="32" t="str">
        <f t="shared" si="0"/>
        <v>0%</v>
      </c>
      <c r="F19" s="31" t="str">
        <f t="shared" si="1"/>
        <v>Mostly missed — see items below</v>
      </c>
    </row>
    <row r="20" spans="1:6" x14ac:dyDescent="0.3">
      <c r="A20" s="30" t="s">
        <v>131</v>
      </c>
      <c r="B20" s="31" t="s">
        <v>132</v>
      </c>
      <c r="C20" s="32">
        <v>14</v>
      </c>
      <c r="D20" s="32">
        <f>IF(C20="N/A","N/A",SUM(Scorecard!F42:F46))</f>
        <v>0</v>
      </c>
      <c r="E20" s="32" t="str">
        <f t="shared" si="0"/>
        <v>0%</v>
      </c>
      <c r="F20" s="31" t="str">
        <f t="shared" si="1"/>
        <v>Mostly missed — see items below</v>
      </c>
    </row>
    <row r="21" spans="1:6" x14ac:dyDescent="0.3">
      <c r="A21" s="30" t="s">
        <v>133</v>
      </c>
      <c r="B21" s="31" t="s">
        <v>134</v>
      </c>
      <c r="C21" s="32">
        <v>12</v>
      </c>
      <c r="D21" s="32">
        <f>IF(C21="N/A","N/A",SUM(Scorecard!F48:F51))</f>
        <v>0</v>
      </c>
      <c r="E21" s="32" t="str">
        <f t="shared" si="0"/>
        <v>0%</v>
      </c>
      <c r="F21" s="31" t="str">
        <f t="shared" si="1"/>
        <v>Mostly missed — see items below</v>
      </c>
    </row>
    <row r="22" spans="1:6" x14ac:dyDescent="0.3">
      <c r="A22" s="24"/>
      <c r="B22" s="24"/>
      <c r="C22" s="24"/>
      <c r="D22" s="24"/>
      <c r="E22" s="24"/>
      <c r="F22" s="24"/>
    </row>
    <row r="23" spans="1:6" x14ac:dyDescent="0.3">
      <c r="A23" s="33" t="s">
        <v>135</v>
      </c>
      <c r="B23" s="33"/>
      <c r="C23" s="33"/>
      <c r="D23" s="33"/>
      <c r="E23" s="33"/>
      <c r="F23" s="33"/>
    </row>
    <row r="24" spans="1:6" x14ac:dyDescent="0.3">
      <c r="A24" s="30">
        <v>1</v>
      </c>
      <c r="B24" s="34" t="str">
        <f>IF(LARGE(Scorecard!$H$11:$H$51,1)&lt;0.5,"—",INDEX(Scorecard!$A$11:$A$51,MATCH(LARGE(Scorecard!$H$11:$H$51,1),Scorecard!$H$11:$H$51,0))&amp;" — "&amp;INDEX(Scorecard!$B$11:$B$51,MATCH(LARGE(Scorecard!$H$11:$H$51,1),Scorecard!$H$11:$H$51,0)))</f>
        <v>B3 — PURCHASES: buys material from where; purchase bills of last 12 months seen?; % paid by bank/UPI and % by cash; TOP 5 SUPPLIERS with names and mobile numbers; credit taken from suppliers (days, amount due).</v>
      </c>
      <c r="C24" s="34"/>
      <c r="D24" s="34"/>
      <c r="E24" s="34"/>
      <c r="F24" s="35" t="str">
        <f>IF(LARGE(Scorecard!$H$11:$H$51,1)&lt;0.5,"",  "Points lost: "&amp;ROUND(LARGE(Scorecard!$H$11:$H$51,1),1))</f>
        <v>Points lost: 4</v>
      </c>
    </row>
    <row r="25" spans="1:6" x14ac:dyDescent="0.3">
      <c r="A25" s="30">
        <v>2</v>
      </c>
      <c r="B25" s="34" t="str">
        <f>IF(LARGE(Scorecard!$H$11:$H$51,2)&lt;0.5,"—",INDEX(Scorecard!$A$11:$A$51,MATCH(LARGE(Scorecard!$H$11:$H$51,2),Scorecard!$H$11:$H$51,0))&amp;" — "&amp;INDEX(Scorecard!$B$11:$B$51,MATCH(LARGE(Scorecard!$H$11:$H$51,2),Scorecard!$H$11:$H$51,0)))</f>
        <v>B4 — SALES: who buys; % received in cash and % by UPI; QR code / UPI is in WHOSE name; sales today and average daily sales; average monthly sales; lean months and daily sales in lean months; udhaar (credit) given to customers — how much.</v>
      </c>
      <c r="C25" s="34"/>
      <c r="D25" s="34"/>
      <c r="E25" s="34"/>
      <c r="F25" s="35" t="str">
        <f>IF(LARGE(Scorecard!$H$11:$H$51,2)&lt;0.5,"",  "Points lost: "&amp;ROUND(LARGE(Scorecard!$H$11:$H$51,2),1))</f>
        <v>Points lost: 4</v>
      </c>
    </row>
    <row r="26" spans="1:6" x14ac:dyDescent="0.3">
      <c r="A26" s="30">
        <v>3</v>
      </c>
      <c r="B26" s="34" t="str">
        <f>IF(LARGE(Scorecard!$H$11:$H$51,3)&lt;0.5,"—",INDEX(Scorecard!$A$11:$A$51,MATCH(LARGE(Scorecard!$H$11:$H$51,3),Scorecard!$H$11:$H$51,0))&amp;" — "&amp;INDEX(Scorecard!$B$11:$B$51,MATCH(LARGE(Scorecard!$H$11:$H$51,3),Scorecard!$H$11:$H$51,0)))</f>
        <v>B6 — INCOME MATHS said aloud: monthly sales × margin % − expenses (rent, electricity, salary, transport) = monthly income. CHECK with AA: UPI credits per month ÷ UPI % = real sales. Say which document supports each number. If a number has no support, take the lower figure — do not accept the customer's number just because he said it.</v>
      </c>
      <c r="C26" s="34"/>
      <c r="D26" s="34"/>
      <c r="E26" s="34"/>
      <c r="F26" s="35" t="str">
        <f>IF(LARGE(Scorecard!$H$11:$H$51,3)&lt;0.5,"",  "Points lost: "&amp;ROUND(LARGE(Scorecard!$H$11:$H$51,3),1))</f>
        <v>Points lost: 4</v>
      </c>
    </row>
    <row r="27" spans="1:6" x14ac:dyDescent="0.3">
      <c r="A27" s="24"/>
      <c r="B27" s="24"/>
      <c r="C27" s="24"/>
      <c r="D27" s="24"/>
      <c r="E27" s="24"/>
      <c r="F27" s="24"/>
    </row>
    <row r="28" spans="1:6" x14ac:dyDescent="0.3">
      <c r="A28" s="29" t="s">
        <v>10</v>
      </c>
      <c r="B28" s="29" t="s">
        <v>136</v>
      </c>
      <c r="C28" s="29" t="s">
        <v>12</v>
      </c>
      <c r="D28" s="29" t="s">
        <v>118</v>
      </c>
      <c r="E28" s="29" t="s">
        <v>137</v>
      </c>
      <c r="F28" s="29" t="s">
        <v>138</v>
      </c>
    </row>
    <row r="29" spans="1:6" x14ac:dyDescent="0.3">
      <c r="A29" s="36" t="s">
        <v>18</v>
      </c>
      <c r="B29" s="36"/>
      <c r="C29" s="36"/>
      <c r="D29" s="36"/>
      <c r="E29" s="36"/>
      <c r="F29" s="36"/>
    </row>
    <row r="30" spans="1:6" ht="28.8" x14ac:dyDescent="0.3">
      <c r="A30" s="30" t="s">
        <v>20</v>
      </c>
      <c r="B30" s="31" t="str">
        <f>Scorecard!B11</f>
        <v>Start with: Application ID, customer name, village/town, loan amount asked. Say that you checked the CRIF report and BPS score before going.</v>
      </c>
      <c r="C30" s="32">
        <f>Scorecard!C11</f>
        <v>2</v>
      </c>
      <c r="D30" s="32">
        <f>Scorecard!F11</f>
        <v>0</v>
      </c>
      <c r="E30" s="30" t="str">
        <f>IF(Scorecard!E11="Yes","✔ Said",IF(Scorecard!E11="Half","½ Half",IF(Scorecard!E11="No","✘ MISSED","?")))</f>
        <v>?</v>
      </c>
      <c r="F30" s="31" t="str">
        <f>IF(Scorecard!G11="","",Scorecard!G11)</f>
        <v/>
      </c>
    </row>
    <row r="31" spans="1:6" ht="28.8" x14ac:dyDescent="0.3">
      <c r="A31" s="37" t="s">
        <v>139</v>
      </c>
      <c r="B31" s="31" t="str">
        <f>Scorecard!B12</f>
        <v>Say that you met the BORROWER HIMSELF at his business — not on phone, not through a relative. Date, time, and who came with you.</v>
      </c>
      <c r="C31" s="32">
        <f>Scorecard!C12</f>
        <v>2</v>
      </c>
      <c r="D31" s="32">
        <f>Scorecard!F12</f>
        <v>0</v>
      </c>
      <c r="E31" s="30" t="str">
        <f>IF(Scorecard!E12="Yes","✔ Said",IF(Scorecard!E12="Half","½ Half",IF(Scorecard!E12="No","✘ MISSED","?")))</f>
        <v>?</v>
      </c>
      <c r="F31" s="31" t="str">
        <f>IF(Scorecard!G12="","",Scorecard!G12)</f>
        <v/>
      </c>
    </row>
    <row r="32" spans="1:6" ht="28.8" x14ac:dyDescent="0.3">
      <c r="A32" s="30" t="s">
        <v>24</v>
      </c>
      <c r="B32" s="31" t="str">
        <f>Scorecard!B13</f>
        <v>Time spent: business (start–end) and home (start–end). Total must be at least 1 hour (normally 1 to 1.5 hours).</v>
      </c>
      <c r="C32" s="32">
        <f>Scorecard!C13</f>
        <v>2</v>
      </c>
      <c r="D32" s="32">
        <f>Scorecard!F13</f>
        <v>0</v>
      </c>
      <c r="E32" s="30" t="str">
        <f>IF(Scorecard!E13="Yes","✔ Said",IF(Scorecard!E13="Half","½ Half",IF(Scorecard!E13="No","✘ MISSED","?")))</f>
        <v>?</v>
      </c>
      <c r="F32" s="31" t="str">
        <f>IF(Scorecard!G13="","",Scorecard!G13)</f>
        <v/>
      </c>
    </row>
    <row r="33" spans="1:6" ht="28.8" x14ac:dyDescent="0.3">
      <c r="A33" s="30" t="s">
        <v>26</v>
      </c>
      <c r="B33" s="31" t="str">
        <f>Scorecard!B14</f>
        <v>Home and property visited (say if home and property are the same house). Co-borrower and family met at home.</v>
      </c>
      <c r="C33" s="32">
        <f>Scorecard!C14</f>
        <v>2</v>
      </c>
      <c r="D33" s="32">
        <f>Scorecard!F14</f>
        <v>0</v>
      </c>
      <c r="E33" s="30" t="str">
        <f>IF(Scorecard!E14="Yes","✔ Said",IF(Scorecard!E14="Half","½ Half",IF(Scorecard!E14="No","✘ MISSED","?")))</f>
        <v>?</v>
      </c>
      <c r="F33" s="31" t="str">
        <f>IF(Scorecard!G14="","",Scorecard!G14)</f>
        <v/>
      </c>
    </row>
    <row r="34" spans="1:6" ht="57.6" x14ac:dyDescent="0.3">
      <c r="A34" s="30" t="s">
        <v>28</v>
      </c>
      <c r="B34" s="31" t="str">
        <f>Scorecard!B15</f>
        <v>Photos taken and uploaded: signboard, QR code, FULL stock, purchase bills, sales bills / register / khata, mandi receipts, every room of the house, household items, electricity meter, both business neighbours, both home neighbours, land / animals (if any), property papers.</v>
      </c>
      <c r="C34" s="32">
        <f>Scorecard!C15</f>
        <v>2</v>
      </c>
      <c r="D34" s="32">
        <f>Scorecard!F15</f>
        <v>0</v>
      </c>
      <c r="E34" s="30" t="str">
        <f>IF(Scorecard!E15="Yes","✔ Said",IF(Scorecard!E15="Half","½ Half",IF(Scorecard!E15="No","✘ MISSED","?")))</f>
        <v>?</v>
      </c>
      <c r="F34" s="31" t="str">
        <f>IF(Scorecard!G15="","",Scorecard!G15)</f>
        <v/>
      </c>
    </row>
    <row r="35" spans="1:6" x14ac:dyDescent="0.3">
      <c r="A35" s="36" t="s">
        <v>140</v>
      </c>
      <c r="B35" s="36"/>
      <c r="C35" s="36"/>
      <c r="D35" s="36"/>
      <c r="E35" s="36"/>
      <c r="F35" s="36"/>
    </row>
    <row r="36" spans="1:6" ht="43.2" x14ac:dyDescent="0.3">
      <c r="A36" s="37" t="s">
        <v>141</v>
      </c>
      <c r="B36" s="31" t="str">
        <f>Scorecard!B17</f>
        <v>What you SAW: shop/unit size, how much stock, how many staff, customers during your visit, machines, signboard. Every business visited — including one run by wife, son, father.</v>
      </c>
      <c r="C36" s="32">
        <f>Scorecard!C17</f>
        <v>3</v>
      </c>
      <c r="D36" s="32">
        <f>Scorecard!F17</f>
        <v>0</v>
      </c>
      <c r="E36" s="30" t="str">
        <f>IF(Scorecard!E17="Yes","✔ Said",IF(Scorecard!E17="Half","½ Half",IF(Scorecard!E17="No","✘ MISSED","?")))</f>
        <v>?</v>
      </c>
      <c r="F36" s="31" t="str">
        <f>IF(Scorecard!G17="","",Scorecard!G17)</f>
        <v/>
      </c>
    </row>
    <row r="37" spans="1:6" ht="43.2" x14ac:dyDescent="0.3">
      <c r="A37" s="30" t="s">
        <v>34</v>
      </c>
      <c r="B37" s="31" t="str">
        <f>Scorecard!B18</f>
        <v>Who actually runs it; running since which year; what the borrower did BEFORE this; new business or family business for generations; shop owned or rented (rent, years here); licence seen (Udyam / Gumasta / GST / FSSAI).</v>
      </c>
      <c r="C37" s="32">
        <f>Scorecard!C18</f>
        <v>3</v>
      </c>
      <c r="D37" s="32">
        <f>Scorecard!F18</f>
        <v>0</v>
      </c>
      <c r="E37" s="30" t="str">
        <f>IF(Scorecard!E18="Yes","✔ Said",IF(Scorecard!E18="Half","½ Half",IF(Scorecard!E18="No","✘ MISSED","?")))</f>
        <v>?</v>
      </c>
      <c r="F37" s="31" t="str">
        <f>IF(Scorecard!G18="","",Scorecard!G18)</f>
        <v/>
      </c>
    </row>
    <row r="38" spans="1:6" ht="43.2" x14ac:dyDescent="0.3">
      <c r="A38" s="30" t="s">
        <v>36</v>
      </c>
      <c r="B38" s="31" t="str">
        <f>Scorecard!B19</f>
        <v>PURCHASES: buys material from where; purchase bills of last 12 months seen?; % paid by bank/UPI and % by cash; TOP 5 SUPPLIERS with names and mobile numbers; credit taken from suppliers (days, amount due).</v>
      </c>
      <c r="C38" s="32">
        <f>Scorecard!C19</f>
        <v>4</v>
      </c>
      <c r="D38" s="32">
        <f>Scorecard!F19</f>
        <v>0</v>
      </c>
      <c r="E38" s="30" t="str">
        <f>IF(Scorecard!E19="Yes","✔ Said",IF(Scorecard!E19="Half","½ Half",IF(Scorecard!E19="No","✘ MISSED","?")))</f>
        <v>?</v>
      </c>
      <c r="F38" s="31" t="str">
        <f>IF(Scorecard!G19="","",Scorecard!G19)</f>
        <v/>
      </c>
    </row>
    <row r="39" spans="1:6" ht="43.2" x14ac:dyDescent="0.3">
      <c r="A39" s="30" t="s">
        <v>38</v>
      </c>
      <c r="B39" s="31" t="str">
        <f>Scorecard!B20</f>
        <v>SALES: who buys; % received in cash and % by UPI; QR code / UPI is in WHOSE name; sales today and average daily sales; average monthly sales; lean months and daily sales in lean months; udhaar (credit) given to customers — how much.</v>
      </c>
      <c r="C39" s="32">
        <f>Scorecard!C20</f>
        <v>4</v>
      </c>
      <c r="D39" s="32">
        <f>Scorecard!F20</f>
        <v>0</v>
      </c>
      <c r="E39" s="30" t="str">
        <f>IF(Scorecard!E20="Yes","✔ Said",IF(Scorecard!E20="Half","½ Half",IF(Scorecard!E20="No","✘ MISSED","?")))</f>
        <v>?</v>
      </c>
      <c r="F39" s="31" t="str">
        <f>IF(Scorecard!G20="","",Scorecard!G20)</f>
        <v/>
      </c>
    </row>
    <row r="40" spans="1:6" x14ac:dyDescent="0.3">
      <c r="A40" s="30" t="s">
        <v>40</v>
      </c>
      <c r="B40" s="31" t="str">
        <f>Scorecard!B21</f>
        <v>STOCK: you counted the stock yourself — your value (Rs.) vs what the customer says.</v>
      </c>
      <c r="C40" s="32">
        <f>Scorecard!C21</f>
        <v>2</v>
      </c>
      <c r="D40" s="32">
        <f>Scorecard!F21</f>
        <v>0</v>
      </c>
      <c r="E40" s="30" t="str">
        <f>IF(Scorecard!E21="Yes","✔ Said",IF(Scorecard!E21="Half","½ Half",IF(Scorecard!E21="No","✘ MISSED","?")))</f>
        <v>?</v>
      </c>
      <c r="F40" s="31" t="str">
        <f>IF(Scorecard!G21="","",Scorecard!G21)</f>
        <v/>
      </c>
    </row>
    <row r="41" spans="1:6" ht="57.6" x14ac:dyDescent="0.3">
      <c r="A41" s="30" t="s">
        <v>42</v>
      </c>
      <c r="B41" s="31" t="str">
        <f>Scorecard!B22</f>
        <v>INCOME MATHS said aloud: monthly sales × margin % − expenses (rent, electricity, salary, transport) = monthly income. CHECK with AA: UPI credits per month ÷ UPI % = real sales. Say which document supports each number. If a number has no support, take the lower figure — do not accept the customer's number just because he said it.</v>
      </c>
      <c r="C41" s="32">
        <f>Scorecard!C22</f>
        <v>4</v>
      </c>
      <c r="D41" s="32">
        <f>Scorecard!F22</f>
        <v>0</v>
      </c>
      <c r="E41" s="30" t="str">
        <f>IF(Scorecard!E22="Yes","✔ Said",IF(Scorecard!E22="Half","½ Half",IF(Scorecard!E22="No","✘ MISSED","?")))</f>
        <v>?</v>
      </c>
      <c r="F41" s="31" t="str">
        <f>IF(Scorecard!G22="","",Scorecard!G22)</f>
        <v/>
      </c>
    </row>
    <row r="42" spans="1:6" ht="43.2" x14ac:dyDescent="0.3">
      <c r="A42" s="37" t="s">
        <v>142</v>
      </c>
      <c r="B42" s="31" t="str">
        <f>Scorecard!B23</f>
        <v>AA (Account Aggregator) triggered on PRAGATI for ALL bank accounts of borrower and co-borrowers — name each account and say SUCCESS or FAILED for each. Documents seen: bills, register, khata, passbook, kata parchi.</v>
      </c>
      <c r="C42" s="32">
        <f>Scorecard!C23</f>
        <v>3</v>
      </c>
      <c r="D42" s="32">
        <f>Scorecard!F23</f>
        <v>0</v>
      </c>
      <c r="E42" s="30" t="str">
        <f>IF(Scorecard!E23="Yes","✔ Said",IF(Scorecard!E23="Half","½ Half",IF(Scorecard!E23="No","✘ MISSED","?")))</f>
        <v>?</v>
      </c>
      <c r="F42" s="31" t="str">
        <f>IF(Scorecard!G23="","",Scorecard!G23)</f>
        <v/>
      </c>
    </row>
    <row r="43" spans="1:6" ht="28.8" x14ac:dyDescent="0.3">
      <c r="A43" s="37" t="s">
        <v>143</v>
      </c>
      <c r="B43" s="31" t="str">
        <f>Scorecard!B24</f>
        <v>2 BUSINESS NEIGHBOURS: name, shop, mobile number, how long this business is running here, what they said about the customer. Photos taken.</v>
      </c>
      <c r="C43" s="32">
        <f>Scorecard!C24</f>
        <v>4</v>
      </c>
      <c r="D43" s="32">
        <f>Scorecard!F24</f>
        <v>0</v>
      </c>
      <c r="E43" s="30" t="str">
        <f>IF(Scorecard!E24="Yes","✔ Said",IF(Scorecard!E24="Half","½ Half",IF(Scorecard!E24="No","✘ MISSED","?")))</f>
        <v>?</v>
      </c>
      <c r="F43" s="31" t="str">
        <f>IF(Scorecard!G24="","",Scorecard!G24)</f>
        <v/>
      </c>
    </row>
    <row r="44" spans="1:6" ht="28.8" x14ac:dyDescent="0.3">
      <c r="A44" s="30" t="s">
        <v>48</v>
      </c>
      <c r="B44" s="31" t="str">
        <f>Scorecard!B25</f>
        <v>YOUR VIEW on each business: genuine and running — or doubt (borrowed stock, arranged setup, too small for the claim). Say it clearly.</v>
      </c>
      <c r="C44" s="32">
        <f>Scorecard!C25</f>
        <v>3</v>
      </c>
      <c r="D44" s="32">
        <f>Scorecard!F25</f>
        <v>0</v>
      </c>
      <c r="E44" s="30" t="str">
        <f>IF(Scorecard!E25="Yes","✔ Said",IF(Scorecard!E25="Half","½ Half",IF(Scorecard!E25="No","✘ MISSED","?")))</f>
        <v>?</v>
      </c>
      <c r="F44" s="31" t="str">
        <f>IF(Scorecard!G25="","",Scorecard!G25)</f>
        <v/>
      </c>
    </row>
    <row r="45" spans="1:6" x14ac:dyDescent="0.3">
      <c r="A45" s="36" t="s">
        <v>144</v>
      </c>
      <c r="B45" s="36"/>
      <c r="C45" s="36"/>
      <c r="D45" s="36"/>
      <c r="E45" s="36"/>
      <c r="F45" s="36"/>
    </row>
    <row r="46" spans="1:6" ht="28.8" x14ac:dyDescent="0.3">
      <c r="A46" s="30" t="s">
        <v>52</v>
      </c>
      <c r="B46" s="31" t="str">
        <f>Scorecard!B27</f>
        <v>LAND: acres, Khasra number, in whose name, borrower's share; checked on Bhulekh / SVAMITVA; land seen (or GPS video if far).</v>
      </c>
      <c r="C46" s="32">
        <f>Scorecard!C27</f>
        <v>3</v>
      </c>
      <c r="D46" s="32">
        <f>Scorecard!F27</f>
        <v>0</v>
      </c>
      <c r="E46" s="30" t="str">
        <f>IF(Scorecard!$E$6="No","N/A",IF(Scorecard!E27="Yes","✔ Said",IF(Scorecard!E27="Half","½ Half",IF(Scorecard!E27="No","✘ MISSED","?"))))</f>
        <v>?</v>
      </c>
      <c r="F46" s="31" t="str">
        <f>IF(Scorecard!G27="","",Scorecard!G27)</f>
        <v/>
      </c>
    </row>
    <row r="47" spans="1:6" ht="43.2" x14ac:dyDescent="0.3">
      <c r="A47" s="30" t="s">
        <v>54</v>
      </c>
      <c r="B47" s="31" t="str">
        <f>Scorecard!B28</f>
        <v>CROPS: which crops each season, yield and price, mandi receipts / PM-KISAN credit seen; KCC or JLG loan — bank, limit, regular or overdue (if overdue: reason and which land).</v>
      </c>
      <c r="C47" s="32">
        <f>Scorecard!C28</f>
        <v>3</v>
      </c>
      <c r="D47" s="32">
        <f>Scorecard!F28</f>
        <v>0</v>
      </c>
      <c r="E47" s="30" t="str">
        <f>IF(Scorecard!$E$6="No","N/A",IF(Scorecard!E28="Yes","✔ Said",IF(Scorecard!E28="Half","½ Half",IF(Scorecard!E28="No","✘ MISSED","?"))))</f>
        <v>?</v>
      </c>
      <c r="F47" s="31" t="str">
        <f>IF(Scorecard!G28="","",Scorecard!G28)</f>
        <v/>
      </c>
    </row>
    <row r="48" spans="1:6" ht="28.8" x14ac:dyDescent="0.3">
      <c r="A48" s="30" t="s">
        <v>56</v>
      </c>
      <c r="B48" s="31" t="str">
        <f>Scorecard!B29</f>
        <v>DAIRY: cows/buffaloes counted by you (photo), litres per day, milk sold to whom (Sanchi / society / private), rate, proof (passbook / slips / UPI).</v>
      </c>
      <c r="C48" s="32">
        <f>Scorecard!C29</f>
        <v>2</v>
      </c>
      <c r="D48" s="32">
        <f>Scorecard!F29</f>
        <v>0</v>
      </c>
      <c r="E48" s="30" t="str">
        <f>IF(Scorecard!$E$6="No","N/A",IF(Scorecard!E29="Yes","✔ Said",IF(Scorecard!E29="Half","½ Half",IF(Scorecard!E29="No","✘ MISSED","?"))))</f>
        <v>?</v>
      </c>
      <c r="F48" s="31" t="str">
        <f>IF(Scorecard!G29="","",Scorecard!G29)</f>
        <v/>
      </c>
    </row>
    <row r="49" spans="1:6" ht="43.2" x14ac:dyDescent="0.3">
      <c r="A49" s="30" t="s">
        <v>58</v>
      </c>
      <c r="B49" s="31" t="str">
        <f>Scorecard!B30</f>
        <v>OTHER INCOME: what each family member does and earns (salary, pension, rent, labour, driving, tailoring), with proof. Say which incomes you are COUNTING and which NOT — and why.</v>
      </c>
      <c r="C49" s="32">
        <f>Scorecard!C30</f>
        <v>2</v>
      </c>
      <c r="D49" s="32">
        <f>Scorecard!F30</f>
        <v>0</v>
      </c>
      <c r="E49" s="30" t="str">
        <f>IF(Scorecard!$E$6="No","N/A",IF(Scorecard!E30="Yes","✔ Said",IF(Scorecard!E30="Half","½ Half",IF(Scorecard!E30="No","✘ MISSED","?"))))</f>
        <v>?</v>
      </c>
      <c r="F49" s="31" t="str">
        <f>IF(Scorecard!G30="","",Scorecard!G30)</f>
        <v/>
      </c>
    </row>
    <row r="50" spans="1:6" x14ac:dyDescent="0.3">
      <c r="A50" s="36" t="s">
        <v>60</v>
      </c>
      <c r="B50" s="36"/>
      <c r="C50" s="36"/>
      <c r="D50" s="36"/>
      <c r="E50" s="36"/>
      <c r="F50" s="36"/>
    </row>
    <row r="51" spans="1:6" ht="57.6" x14ac:dyDescent="0.3">
      <c r="A51" s="37" t="s">
        <v>145</v>
      </c>
      <c r="B51" s="31" t="str">
        <f>Scorecard!B32</f>
        <v>EVERY loan in the CRIF of borrower, co-borrowers AND guarantors — lender, EMI, outstanding — discussed with them. Plus loans not in CRIF: MFI / SHG / JLG, KCC / society, gold, hand loans, chit / committee, supplier credit. Anything found on the ground that was not disclosed — say it.</v>
      </c>
      <c r="C51" s="32">
        <f>Scorecard!C32</f>
        <v>4</v>
      </c>
      <c r="D51" s="32">
        <f>Scorecard!F32</f>
        <v>0</v>
      </c>
      <c r="E51" s="30" t="str">
        <f>IF(Scorecard!E32="Yes","✔ Said",IF(Scorecard!E32="Half","½ Half",IF(Scorecard!E32="No","✘ MISSED","?")))</f>
        <v>?</v>
      </c>
      <c r="F51" s="31" t="str">
        <f>IF(Scorecard!G32="","",Scorecard!G32)</f>
        <v/>
      </c>
    </row>
    <row r="52" spans="1:6" ht="43.2" x14ac:dyDescent="0.3">
      <c r="A52" s="30" t="s">
        <v>64</v>
      </c>
      <c r="B52" s="31" t="str">
        <f>Scorecard!B33</f>
        <v>DEFAULTS: for every overdue / DPD / settled account — the reason in the customer's words and your view (justified or not). EMIs paid by bank (NACH) or in cash to an agent? Is he a regular defaulter who does not care, or one-time with a clear reason?</v>
      </c>
      <c r="C52" s="32">
        <f>Scorecard!C33</f>
        <v>3</v>
      </c>
      <c r="D52" s="32">
        <f>Scorecard!F33</f>
        <v>0</v>
      </c>
      <c r="E52" s="30" t="str">
        <f>IF(Scorecard!E33="Yes","✔ Said",IF(Scorecard!E33="Half","½ Half",IF(Scorecard!E33="No","✘ MISSED","?")))</f>
        <v>?</v>
      </c>
      <c r="F52" s="31" t="str">
        <f>IF(Scorecard!G33="","",Scorecard!G33)</f>
        <v/>
      </c>
    </row>
    <row r="53" spans="1:6" ht="28.8" x14ac:dyDescent="0.3">
      <c r="A53" s="30" t="s">
        <v>66</v>
      </c>
      <c r="B53" s="31" t="str">
        <f>Scorecard!B34</f>
        <v>Family expenses per month, school fees, any big expense coming in 12 months (marriage, house construction, vehicle).</v>
      </c>
      <c r="C53" s="32">
        <f>Scorecard!C34</f>
        <v>2</v>
      </c>
      <c r="D53" s="32">
        <f>Scorecard!F34</f>
        <v>0</v>
      </c>
      <c r="E53" s="30" t="str">
        <f>IF(Scorecard!E34="Yes","✔ Said",IF(Scorecard!E34="Half","½ Half",IF(Scorecard!E34="No","✘ MISSED","?")))</f>
        <v>?</v>
      </c>
      <c r="F53" s="31" t="str">
        <f>IF(Scorecard!G34="","",Scorecard!G34)</f>
        <v/>
      </c>
    </row>
    <row r="54" spans="1:6" ht="43.2" x14ac:dyDescent="0.3">
      <c r="A54" s="30" t="s">
        <v>68</v>
      </c>
      <c r="B54" s="31" t="str">
        <f>Scorecard!B35</f>
        <v>Loans applied in the last 3 months: where, how much, result, WHY not sanctioned yet, TOTAL money he wants from all lenders together. Then: income − expenses − EMIs = surplus, compared with the proposed EMI.</v>
      </c>
      <c r="C54" s="32">
        <f>Scorecard!C35</f>
        <v>3</v>
      </c>
      <c r="D54" s="32">
        <f>Scorecard!F35</f>
        <v>0</v>
      </c>
      <c r="E54" s="30" t="str">
        <f>IF(Scorecard!E35="Yes","✔ Said",IF(Scorecard!E35="Half","½ Half",IF(Scorecard!E35="No","✘ MISSED","?")))</f>
        <v>?</v>
      </c>
      <c r="F54" s="31" t="str">
        <f>IF(Scorecard!G35="","",Scorecard!G35)</f>
        <v/>
      </c>
    </row>
    <row r="55" spans="1:6" x14ac:dyDescent="0.3">
      <c r="A55" s="36" t="s">
        <v>70</v>
      </c>
      <c r="B55" s="36"/>
      <c r="C55" s="36"/>
      <c r="D55" s="36"/>
      <c r="E55" s="36"/>
      <c r="F55" s="36"/>
    </row>
    <row r="56" spans="1:6" ht="57.6" x14ac:dyDescent="0.3">
      <c r="A56" s="30" t="s">
        <v>72</v>
      </c>
      <c r="B56" s="31" t="str">
        <f>Scorecard!B37</f>
        <v>HOME: own or rented, years living here, pucca / kachha, rooms; electricity bill in whose name; items seen — tractor, car, bike, TV, fridge, washing machine, smartphones (how many), cooler / AC, gas, electricity meter. Does the standard of living match the income claimed?</v>
      </c>
      <c r="C56" s="32">
        <f>Scorecard!C37</f>
        <v>3</v>
      </c>
      <c r="D56" s="32">
        <f>Scorecard!F37</f>
        <v>0</v>
      </c>
      <c r="E56" s="30" t="str">
        <f>IF(Scorecard!E37="Yes","✔ Said",IF(Scorecard!E37="Half","½ Half",IF(Scorecard!E37="No","✘ MISSED","?")))</f>
        <v>?</v>
      </c>
      <c r="F56" s="31" t="str">
        <f>IF(Scorecard!G37="","",Scorecard!G37)</f>
        <v/>
      </c>
    </row>
    <row r="57" spans="1:6" ht="57.6" x14ac:dyDescent="0.3">
      <c r="A57" s="37" t="s">
        <v>146</v>
      </c>
      <c r="B57" s="31" t="str">
        <f>Scorecard!B38</f>
        <v>CO-BORROWER (wife / mother) met in person — knows the loan amount, the EMI and that the HOUSE WILL BE MORTGAGED. Each family member: what they do, aware of the loan, supportive? KYC originals (Aadhaar / PAN / Voter) and Samagra ID of borrower and ALL co-borrowers checked and matched.</v>
      </c>
      <c r="C57" s="32">
        <f>Scorecard!C38</f>
        <v>4</v>
      </c>
      <c r="D57" s="32">
        <f>Scorecard!F38</f>
        <v>0</v>
      </c>
      <c r="E57" s="30" t="str">
        <f>IF(Scorecard!E38="Yes","✔ Said",IF(Scorecard!E38="Half","½ Half",IF(Scorecard!E38="No","✘ MISSED","?")))</f>
        <v>?</v>
      </c>
      <c r="F57" s="31" t="str">
        <f>IF(Scorecard!G38="","",Scorecard!G38)</f>
        <v/>
      </c>
    </row>
    <row r="58" spans="1:6" ht="28.8" x14ac:dyDescent="0.3">
      <c r="A58" s="37" t="s">
        <v>147</v>
      </c>
      <c r="B58" s="31" t="str">
        <f>Scorecard!B39</f>
        <v>2 HOME NEIGHBOURS: name, mobile number, how long the family is staying here, conduct, any dispute. Photos taken.</v>
      </c>
      <c r="C58" s="32">
        <f>Scorecard!C39</f>
        <v>3</v>
      </c>
      <c r="D58" s="32">
        <f>Scorecard!F39</f>
        <v>0</v>
      </c>
      <c r="E58" s="30" t="str">
        <f>IF(Scorecard!E39="Yes","✔ Said",IF(Scorecard!E39="Half","½ Half",IF(Scorecard!E39="No","✘ MISSED","?")))</f>
        <v>?</v>
      </c>
      <c r="F58" s="31" t="str">
        <f>IF(Scorecard!G39="","",Scorecard!G39)</f>
        <v/>
      </c>
    </row>
    <row r="59" spans="1:6" ht="43.2" x14ac:dyDescent="0.3">
      <c r="A59" s="30" t="s">
        <v>78</v>
      </c>
      <c r="B59" s="31" t="str">
        <f>Scorecard!B40</f>
        <v>Told the customer and family: this is a Loan Against Property (house mortgaged), the EMI amount, Clean Track Reward (last 3 EMIs waived on clean repayment), ZERO COMMISSION — pay nobody, Prodigee works on trust and integrity.</v>
      </c>
      <c r="C59" s="32">
        <f>Scorecard!C40</f>
        <v>2</v>
      </c>
      <c r="D59" s="32">
        <f>Scorecard!F40</f>
        <v>0</v>
      </c>
      <c r="E59" s="30" t="str">
        <f>IF(Scorecard!E40="Yes","✔ Said",IF(Scorecard!E40="Half","½ Half",IF(Scorecard!E40="No","✘ MISSED","?")))</f>
        <v>?</v>
      </c>
      <c r="F59" s="31" t="str">
        <f>IF(Scorecard!G40="","",Scorecard!G40)</f>
        <v/>
      </c>
    </row>
    <row r="60" spans="1:6" x14ac:dyDescent="0.3">
      <c r="A60" s="36" t="s">
        <v>80</v>
      </c>
      <c r="B60" s="36"/>
      <c r="C60" s="36"/>
      <c r="D60" s="36"/>
      <c r="E60" s="36"/>
      <c r="F60" s="36"/>
    </row>
    <row r="61" spans="1:6" ht="28.8" x14ac:dyDescent="0.3">
      <c r="A61" s="30" t="s">
        <v>82</v>
      </c>
      <c r="B61" s="31" t="str">
        <f>Scorecard!B42</f>
        <v>Property: house / shop / plot, self-occupied or rented out, pucca, age, area (sq.ft), road access, kitchen and toilet, condition.</v>
      </c>
      <c r="C61" s="32">
        <f>Scorecard!C42</f>
        <v>3</v>
      </c>
      <c r="D61" s="32">
        <f>Scorecard!F42</f>
        <v>0</v>
      </c>
      <c r="E61" s="30" t="str">
        <f>IF(Scorecard!E42="Yes","✔ Said",IF(Scorecard!E42="Half","½ Half",IF(Scorecard!E42="No","✘ MISSED","?")))</f>
        <v>?</v>
      </c>
      <c r="F61" s="31" t="str">
        <f>IF(Scorecard!G42="","",Scorecard!G42)</f>
        <v/>
      </c>
    </row>
    <row r="62" spans="1:6" ht="43.2" x14ac:dyDescent="0.3">
      <c r="A62" s="37" t="s">
        <v>148</v>
      </c>
      <c r="B62" s="31" t="str">
        <f>Scorecard!B43</f>
        <v>ORIGINAL papers seen with your own eyes (Sale Deed / Patta / 5-pager — say which); in whose name; how he got it; mutation done? ALL owners and legal heirs are CO-BORROWERS on this loan — name them.</v>
      </c>
      <c r="C62" s="32">
        <f>Scorecard!C43</f>
        <v>4</v>
      </c>
      <c r="D62" s="32">
        <f>Scorecard!F43</f>
        <v>0</v>
      </c>
      <c r="E62" s="30" t="str">
        <f>IF(Scorecard!E43="Yes","✔ Said",IF(Scorecard!E43="Half","½ Half",IF(Scorecard!E43="No","✘ MISSED","?")))</f>
        <v>?</v>
      </c>
      <c r="F62" s="31" t="str">
        <f>IF(Scorecard!G43="","",Scorecard!G43)</f>
        <v/>
      </c>
    </row>
    <row r="63" spans="1:6" ht="57.6" x14ac:dyDescent="0.3">
      <c r="A63" s="30" t="s">
        <v>86</v>
      </c>
      <c r="B63" s="31" t="str">
        <f>Scorecard!B44</f>
        <v>Papers genuine? (registry seal and number, pages complete, Panchayat seal / signature). Already mortgaged with any other bank / finance company? Original papers lying with any other lender? Asked the family; checked CRIF for secured loans. For panchayat property: Patta / SVAMITVA record checked.</v>
      </c>
      <c r="C63" s="32">
        <f>Scorecard!C44</f>
        <v>3</v>
      </c>
      <c r="D63" s="32">
        <f>Scorecard!F44</f>
        <v>0</v>
      </c>
      <c r="E63" s="30" t="str">
        <f>IF(Scorecard!E44="Yes","✔ Said",IF(Scorecard!E44="Half","½ Half",IF(Scorecard!E44="No","✘ MISSED","?")))</f>
        <v>?</v>
      </c>
      <c r="F63" s="31" t="str">
        <f>IF(Scorecard!G44="","",Scorecard!G44)</f>
        <v/>
      </c>
    </row>
    <row r="64" spans="1:6" ht="28.8" x14ac:dyDescent="0.3">
      <c r="A64" s="30" t="s">
        <v>88</v>
      </c>
      <c r="B64" s="31" t="str">
        <f>Scorecard!B45</f>
        <v>Approximate value with the basis (local rate per sq.ft, a recent sale nearby, neighbour's view); distress value; loan amount vs value.</v>
      </c>
      <c r="C64" s="32">
        <f>Scorecard!C45</f>
        <v>2</v>
      </c>
      <c r="D64" s="32">
        <f>Scorecard!F45</f>
        <v>0</v>
      </c>
      <c r="E64" s="30" t="str">
        <f>IF(Scorecard!E45="Yes","✔ Said",IF(Scorecard!E45="Half","½ Half",IF(Scorecard!E45="No","✘ MISSED","?")))</f>
        <v>?</v>
      </c>
      <c r="F64" s="31" t="str">
        <f>IF(Scorecard!G45="","",Scorecard!G45)</f>
        <v/>
      </c>
    </row>
    <row r="65" spans="1:6" ht="28.8" x14ac:dyDescent="0.3">
      <c r="A65" s="30" t="s">
        <v>90</v>
      </c>
      <c r="B65" s="31" t="str">
        <f>Scorecard!B46</f>
        <v>Risks: any dispute, ST / tribal land, high-tension line / river bank / encroachment, negative area, demolition risk — say "none" if none.</v>
      </c>
      <c r="C65" s="32">
        <f>Scorecard!C46</f>
        <v>2</v>
      </c>
      <c r="D65" s="32">
        <f>Scorecard!F46</f>
        <v>0</v>
      </c>
      <c r="E65" s="30" t="str">
        <f>IF(Scorecard!E46="Yes","✔ Said",IF(Scorecard!E46="Half","½ Half",IF(Scorecard!E46="No","✘ MISSED","?")))</f>
        <v>?</v>
      </c>
      <c r="F65" s="31" t="str">
        <f>IF(Scorecard!G46="","",Scorecard!G46)</f>
        <v/>
      </c>
    </row>
    <row r="66" spans="1:6" x14ac:dyDescent="0.3">
      <c r="A66" s="36" t="s">
        <v>92</v>
      </c>
      <c r="B66" s="36"/>
      <c r="C66" s="36"/>
      <c r="D66" s="36"/>
      <c r="E66" s="36"/>
      <c r="F66" s="36"/>
    </row>
    <row r="67" spans="1:6" ht="28.8" x14ac:dyDescent="0.3">
      <c r="A67" s="30" t="s">
        <v>94</v>
      </c>
      <c r="B67" s="31" t="str">
        <f>Scorecard!B48</f>
        <v>Loan purpose: how much for what, where, when; is the need visible on the ground (empty shelves, loans to be closed); not a restricted use.</v>
      </c>
      <c r="C67" s="32">
        <f>Scorecard!C48</f>
        <v>3</v>
      </c>
      <c r="D67" s="32">
        <f>Scorecard!F48</f>
        <v>0</v>
      </c>
      <c r="E67" s="30" t="str">
        <f>IF(Scorecard!E48="Yes","✔ Said",IF(Scorecard!E48="Half","½ Half",IF(Scorecard!E48="No","✘ MISSED","?")))</f>
        <v>?</v>
      </c>
      <c r="F67" s="31" t="str">
        <f>IF(Scorecard!G48="","",Scorecard!G48)</f>
        <v/>
      </c>
    </row>
    <row r="68" spans="1:6" ht="72" x14ac:dyDescent="0.3">
      <c r="A68" s="37" t="s">
        <v>149</v>
      </c>
      <c r="B68" s="31" t="str">
        <f>Scorecard!B49</f>
        <v>INTENT &amp; INTEGRITY — answer each one clearly: (1) business genuine? (2) sales and purchase numbers true or inflated? (3) defaults justified? (4) regular defaulter? (5) family aware and supportive? (6) all property owners on the loan? (7) papers genuine? (8) customer open or evasive about accounts, bills, loans? (9) any middleman or commission?</v>
      </c>
      <c r="C68" s="32">
        <f>Scorecard!C49</f>
        <v>4</v>
      </c>
      <c r="D68" s="32">
        <f>Scorecard!F49</f>
        <v>0</v>
      </c>
      <c r="E68" s="30" t="str">
        <f>IF(Scorecard!E49="Yes","✔ Said",IF(Scorecard!E49="Half","½ Half",IF(Scorecard!E49="No","✘ MISSED","?")))</f>
        <v>?</v>
      </c>
      <c r="F68" s="31" t="str">
        <f>IF(Scorecard!G49="","",Scorecard!G49)</f>
        <v/>
      </c>
    </row>
    <row r="69" spans="1:6" ht="43.2" x14ac:dyDescent="0.3">
      <c r="A69" s="30" t="s">
        <v>98</v>
      </c>
      <c r="B69" s="31" t="str">
        <f>Scorecard!B50</f>
        <v>WARNING SIGNS seen — say each one, or say "none": staged / fake business · hidden loans · family unaware · doubtful papers or property mortgaged elsewhere · commission or middleman · numbers not matching AA / bills.</v>
      </c>
      <c r="C69" s="32">
        <f>Scorecard!C50</f>
        <v>3</v>
      </c>
      <c r="D69" s="32">
        <f>Scorecard!F50</f>
        <v>0</v>
      </c>
      <c r="E69" s="30" t="str">
        <f>IF(Scorecard!E50="Yes","✔ Said",IF(Scorecard!E50="Half","½ Half",IF(Scorecard!E50="No","✘ MISSED","?")))</f>
        <v>?</v>
      </c>
      <c r="F69" s="31" t="str">
        <f>IF(Scorecard!G50="","",Scorecard!G50)</f>
        <v/>
      </c>
    </row>
    <row r="70" spans="1:6" ht="43.2" x14ac:dyDescent="0.3">
      <c r="A70" s="30" t="s">
        <v>100</v>
      </c>
      <c r="B70" s="31" t="str">
        <f>Scorecard!B51</f>
        <v>What you could NOT verify — say it honestly. Your overall view: total family income vs loan asked, ability and intention to repay. (This is your view — the decision is taken later on PRAGATI.)</v>
      </c>
      <c r="C70" s="32">
        <f>Scorecard!C51</f>
        <v>2</v>
      </c>
      <c r="D70" s="32">
        <f>Scorecard!F51</f>
        <v>0</v>
      </c>
      <c r="E70" s="30" t="str">
        <f>IF(Scorecard!E51="Yes","✔ Said",IF(Scorecard!E51="Half","½ Half",IF(Scorecard!E51="No","✘ MISSED","?")))</f>
        <v>?</v>
      </c>
      <c r="F70" s="31" t="str">
        <f>IF(Scorecard!G51="","",Scorecard!G51)</f>
        <v/>
      </c>
    </row>
    <row r="71" spans="1:6" x14ac:dyDescent="0.3">
      <c r="A71" s="24"/>
      <c r="B71" s="24"/>
      <c r="C71" s="24"/>
      <c r="D71" s="24"/>
      <c r="E71" s="24"/>
      <c r="F71" s="24"/>
    </row>
    <row r="72" spans="1:6" ht="30.6" customHeight="1" x14ac:dyDescent="0.3">
      <c r="A72" s="38" t="s">
        <v>150</v>
      </c>
      <c r="B72" s="38"/>
      <c r="C72" s="38"/>
      <c r="D72" s="38"/>
      <c r="E72" s="38"/>
      <c r="F72" s="38"/>
    </row>
  </sheetData>
  <mergeCells count="29">
    <mergeCell ref="A1:F1"/>
    <mergeCell ref="A2:F2"/>
    <mergeCell ref="A4:B4"/>
    <mergeCell ref="C4:F4"/>
    <mergeCell ref="A5:B5"/>
    <mergeCell ref="C5:F5"/>
    <mergeCell ref="A6:B6"/>
    <mergeCell ref="C6:F6"/>
    <mergeCell ref="A7:B7"/>
    <mergeCell ref="C7:F7"/>
    <mergeCell ref="A8:B8"/>
    <mergeCell ref="C8:F8"/>
    <mergeCell ref="A10:B10"/>
    <mergeCell ref="C10:F10"/>
    <mergeCell ref="A11:B11"/>
    <mergeCell ref="C11:F11"/>
    <mergeCell ref="A12:F12"/>
    <mergeCell ref="A23:F23"/>
    <mergeCell ref="B24:E24"/>
    <mergeCell ref="B25:E25"/>
    <mergeCell ref="B26:E26"/>
    <mergeCell ref="A29:F29"/>
    <mergeCell ref="A66:F66"/>
    <mergeCell ref="A72:F72"/>
    <mergeCell ref="A35:F35"/>
    <mergeCell ref="A45:F45"/>
    <mergeCell ref="A50:F50"/>
    <mergeCell ref="A55:F55"/>
    <mergeCell ref="A60:F60"/>
  </mergeCells>
  <conditionalFormatting sqref="C11">
    <cfRule type="expression" dxfId="6" priority="2">
      <formula>LEFT(C11,3)="NOT"</formula>
    </cfRule>
    <cfRule type="expression" dxfId="5" priority="3">
      <formula>LEFT(C11,3)&lt;&gt;"NOT"</formula>
    </cfRule>
  </conditionalFormatting>
  <conditionalFormatting sqref="E24:E71">
    <cfRule type="expression" dxfId="4" priority="18">
      <formula>LEFT(E24,1)="✘"</formula>
    </cfRule>
    <cfRule type="expression" dxfId="3" priority="19">
      <formula>LEFT(E24,1)="½"</formula>
    </cfRule>
    <cfRule type="expression" dxfId="2" priority="20">
      <formula>LEFT(E24,1)="✔"</formula>
    </cfRule>
  </conditionalFormatting>
  <conditionalFormatting sqref="F15:F21">
    <cfRule type="expression" dxfId="1" priority="4">
      <formula>LEFT(F15,5)="Fully"</formula>
    </cfRule>
    <cfRule type="expression" dxfId="0" priority="5">
      <formula>OR(LEFT(F15,4)="Weak",LEFT(F15,6)="Mostly")</formula>
    </cfRule>
  </conditionalFormatting>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Scorecard</vt:lpstr>
      <vt:lpstr>My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Amit Goel</cp:lastModifiedBy>
  <cp:revision>0</cp:revision>
  <dcterms:created xsi:type="dcterms:W3CDTF">2026-09-13T07:31:29Z</dcterms:created>
  <dcterms:modified xsi:type="dcterms:W3CDTF">2026-09-13T07:59:52Z</dcterms:modified>
  <dc:language>en-US</dc:language>
</cp:coreProperties>
</file>