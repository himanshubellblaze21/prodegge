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tg\Desktop\Audio PD AI Assessment\RCM Audio PD\September 2026\"/>
    </mc:Choice>
  </mc:AlternateContent>
  <xr:revisionPtr revIDLastSave="0" documentId="8_{ACD20237-CE7D-4C3B-B8DA-8B6B17577A5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corecard" sheetId="1" r:id="rId1"/>
    <sheet name="My Resul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4" i="2" l="1"/>
  <c r="E74" i="2"/>
  <c r="C74" i="2"/>
  <c r="B74" i="2"/>
  <c r="F73" i="2"/>
  <c r="E73" i="2"/>
  <c r="C73" i="2"/>
  <c r="B73" i="2"/>
  <c r="F72" i="2"/>
  <c r="E72" i="2"/>
  <c r="C72" i="2"/>
  <c r="B72" i="2"/>
  <c r="F71" i="2"/>
  <c r="E71" i="2"/>
  <c r="C71" i="2"/>
  <c r="B71" i="2"/>
  <c r="F69" i="2"/>
  <c r="E69" i="2"/>
  <c r="C69" i="2"/>
  <c r="B69" i="2"/>
  <c r="F68" i="2"/>
  <c r="E68" i="2"/>
  <c r="C68" i="2"/>
  <c r="B68" i="2"/>
  <c r="F67" i="2"/>
  <c r="E67" i="2"/>
  <c r="C67" i="2"/>
  <c r="B67" i="2"/>
  <c r="F65" i="2"/>
  <c r="E65" i="2"/>
  <c r="C65" i="2"/>
  <c r="B65" i="2"/>
  <c r="F64" i="2"/>
  <c r="E64" i="2"/>
  <c r="C64" i="2"/>
  <c r="B64" i="2"/>
  <c r="F63" i="2"/>
  <c r="E63" i="2"/>
  <c r="C63" i="2"/>
  <c r="B63" i="2"/>
  <c r="F61" i="2"/>
  <c r="E61" i="2"/>
  <c r="C61" i="2"/>
  <c r="B61" i="2"/>
  <c r="F60" i="2"/>
  <c r="E60" i="2"/>
  <c r="C60" i="2"/>
  <c r="B60" i="2"/>
  <c r="F59" i="2"/>
  <c r="E59" i="2"/>
  <c r="C59" i="2"/>
  <c r="B59" i="2"/>
  <c r="F57" i="2"/>
  <c r="E57" i="2"/>
  <c r="C57" i="2"/>
  <c r="B57" i="2"/>
  <c r="F56" i="2"/>
  <c r="E56" i="2"/>
  <c r="C56" i="2"/>
  <c r="B56" i="2"/>
  <c r="F55" i="2"/>
  <c r="E55" i="2"/>
  <c r="C55" i="2"/>
  <c r="B55" i="2"/>
  <c r="F54" i="2"/>
  <c r="E54" i="2"/>
  <c r="C54" i="2"/>
  <c r="B54" i="2"/>
  <c r="F52" i="2"/>
  <c r="E52" i="2"/>
  <c r="C52" i="2"/>
  <c r="B52" i="2"/>
  <c r="F51" i="2"/>
  <c r="E51" i="2"/>
  <c r="C51" i="2"/>
  <c r="B51" i="2"/>
  <c r="F50" i="2"/>
  <c r="E50" i="2"/>
  <c r="C50" i="2"/>
  <c r="B50" i="2"/>
  <c r="F49" i="2"/>
  <c r="E49" i="2"/>
  <c r="C49" i="2"/>
  <c r="B49" i="2"/>
  <c r="F48" i="2"/>
  <c r="E48" i="2"/>
  <c r="C48" i="2"/>
  <c r="B48" i="2"/>
  <c r="F47" i="2"/>
  <c r="E47" i="2"/>
  <c r="C47" i="2"/>
  <c r="B47" i="2"/>
  <c r="F45" i="2"/>
  <c r="E45" i="2"/>
  <c r="C45" i="2"/>
  <c r="B45" i="2"/>
  <c r="F44" i="2"/>
  <c r="E44" i="2"/>
  <c r="C44" i="2"/>
  <c r="B44" i="2"/>
  <c r="F43" i="2"/>
  <c r="E43" i="2"/>
  <c r="C43" i="2"/>
  <c r="B43" i="2"/>
  <c r="F41" i="2"/>
  <c r="E41" i="2"/>
  <c r="C41" i="2"/>
  <c r="B41" i="2"/>
  <c r="F40" i="2"/>
  <c r="E40" i="2"/>
  <c r="C40" i="2"/>
  <c r="B40" i="2"/>
  <c r="F39" i="2"/>
  <c r="E39" i="2"/>
  <c r="C39" i="2"/>
  <c r="B39" i="2"/>
  <c r="F38" i="2"/>
  <c r="E38" i="2"/>
  <c r="C38" i="2"/>
  <c r="B38" i="2"/>
  <c r="F37" i="2"/>
  <c r="E37" i="2"/>
  <c r="C37" i="2"/>
  <c r="B37" i="2"/>
  <c r="F35" i="2"/>
  <c r="E35" i="2"/>
  <c r="C35" i="2"/>
  <c r="B35" i="2"/>
  <c r="F34" i="2"/>
  <c r="E34" i="2"/>
  <c r="C34" i="2"/>
  <c r="B34" i="2"/>
  <c r="F33" i="2"/>
  <c r="E33" i="2"/>
  <c r="C33" i="2"/>
  <c r="B33" i="2"/>
  <c r="F32" i="2"/>
  <c r="E32" i="2"/>
  <c r="C32" i="2"/>
  <c r="B32" i="2"/>
  <c r="D22" i="2"/>
  <c r="C8" i="2"/>
  <c r="C7" i="2"/>
  <c r="C6" i="2"/>
  <c r="C5" i="2"/>
  <c r="C4" i="2"/>
  <c r="C59" i="1"/>
  <c r="C60" i="1" s="1"/>
  <c r="C55" i="1"/>
  <c r="C61" i="1" s="1"/>
  <c r="C11" i="2" s="1"/>
  <c r="H53" i="1"/>
  <c r="F53" i="1"/>
  <c r="D74" i="2" s="1"/>
  <c r="H52" i="1"/>
  <c r="F52" i="1"/>
  <c r="D73" i="2" s="1"/>
  <c r="H51" i="1"/>
  <c r="F51" i="1"/>
  <c r="D72" i="2" s="1"/>
  <c r="H50" i="1"/>
  <c r="F50" i="1"/>
  <c r="H48" i="1"/>
  <c r="F48" i="1"/>
  <c r="D69" i="2" s="1"/>
  <c r="H47" i="1"/>
  <c r="F47" i="1"/>
  <c r="D68" i="2" s="1"/>
  <c r="H46" i="1"/>
  <c r="F46" i="1"/>
  <c r="D67" i="2" s="1"/>
  <c r="H44" i="1"/>
  <c r="F44" i="1"/>
  <c r="D65" i="2" s="1"/>
  <c r="H43" i="1"/>
  <c r="F43" i="1"/>
  <c r="D64" i="2" s="1"/>
  <c r="H42" i="1"/>
  <c r="F42" i="1"/>
  <c r="H40" i="1"/>
  <c r="F40" i="1"/>
  <c r="D61" i="2" s="1"/>
  <c r="H39" i="1"/>
  <c r="F39" i="1"/>
  <c r="D60" i="2" s="1"/>
  <c r="H38" i="1"/>
  <c r="F38" i="1"/>
  <c r="H36" i="1"/>
  <c r="F36" i="1"/>
  <c r="D57" i="2" s="1"/>
  <c r="H35" i="1"/>
  <c r="F35" i="1"/>
  <c r="D56" i="2" s="1"/>
  <c r="H34" i="1"/>
  <c r="F34" i="1"/>
  <c r="D55" i="2" s="1"/>
  <c r="H33" i="1"/>
  <c r="F33" i="1"/>
  <c r="H31" i="1"/>
  <c r="F31" i="1"/>
  <c r="D52" i="2" s="1"/>
  <c r="H30" i="1"/>
  <c r="F30" i="1"/>
  <c r="D51" i="2" s="1"/>
  <c r="H29" i="1"/>
  <c r="F29" i="1"/>
  <c r="D50" i="2" s="1"/>
  <c r="H28" i="1"/>
  <c r="F28" i="1"/>
  <c r="D49" i="2" s="1"/>
  <c r="H27" i="1"/>
  <c r="F27" i="1"/>
  <c r="D48" i="2" s="1"/>
  <c r="H26" i="1"/>
  <c r="F26" i="1"/>
  <c r="H24" i="1"/>
  <c r="F24" i="1"/>
  <c r="D45" i="2" s="1"/>
  <c r="H23" i="1"/>
  <c r="F23" i="1"/>
  <c r="D44" i="2" s="1"/>
  <c r="H22" i="1"/>
  <c r="F22" i="1"/>
  <c r="H20" i="1"/>
  <c r="F20" i="1"/>
  <c r="D41" i="2" s="1"/>
  <c r="H19" i="1"/>
  <c r="F19" i="1"/>
  <c r="D40" i="2" s="1"/>
  <c r="H18" i="1"/>
  <c r="F18" i="1"/>
  <c r="D39" i="2" s="1"/>
  <c r="H17" i="1"/>
  <c r="F17" i="1"/>
  <c r="D38" i="2" s="1"/>
  <c r="H16" i="1"/>
  <c r="F16" i="1"/>
  <c r="H14" i="1"/>
  <c r="F14" i="1"/>
  <c r="D35" i="2" s="1"/>
  <c r="H13" i="1"/>
  <c r="F13" i="1"/>
  <c r="D34" i="2" s="1"/>
  <c r="H12" i="1"/>
  <c r="F12" i="1"/>
  <c r="D33" i="2" s="1"/>
  <c r="H11" i="1"/>
  <c r="F11" i="1"/>
  <c r="F22" i="2" l="1"/>
  <c r="E22" i="2"/>
  <c r="D71" i="2"/>
  <c r="D23" i="2"/>
  <c r="D63" i="2"/>
  <c r="D21" i="2"/>
  <c r="D59" i="2"/>
  <c r="D20" i="2"/>
  <c r="D54" i="2"/>
  <c r="D19" i="2"/>
  <c r="D47" i="2"/>
  <c r="D18" i="2"/>
  <c r="D43" i="2"/>
  <c r="D17" i="2"/>
  <c r="D37" i="2"/>
  <c r="D16" i="2"/>
  <c r="F27" i="2"/>
  <c r="F26" i="2"/>
  <c r="B27" i="2"/>
  <c r="B26" i="2"/>
  <c r="F28" i="2"/>
  <c r="B28" i="2"/>
  <c r="D32" i="2"/>
  <c r="D15" i="2"/>
  <c r="C57" i="1"/>
  <c r="C58" i="1" s="1"/>
  <c r="C10" i="2" s="1"/>
  <c r="E23" i="2" l="1"/>
  <c r="F23" i="2"/>
  <c r="E21" i="2"/>
  <c r="F21" i="2"/>
  <c r="E20" i="2"/>
  <c r="F20" i="2"/>
  <c r="E19" i="2"/>
  <c r="F19" i="2"/>
  <c r="E18" i="2"/>
  <c r="F18" i="2"/>
  <c r="E17" i="2"/>
  <c r="F17" i="2"/>
  <c r="E16" i="2"/>
  <c r="F16" i="2"/>
  <c r="E15" i="2"/>
  <c r="F15" i="2"/>
</calcChain>
</file>

<file path=xl/sharedStrings.xml><?xml version="1.0" encoding="utf-8"?>
<sst xmlns="http://schemas.openxmlformats.org/spreadsheetml/2006/main" count="210" uniqueCount="160">
  <si>
    <t>RCM AUDIO PD — PHONE CALL RECORDING SCORECARD (V2.0 Simple)</t>
  </si>
  <si>
    <t>Evaluator: fill the yellow cells only. For each item choose Yes (asked / said fully with names and figures), Half (asked but vague or incomplete) or No (not asked). Score, result and the RCM's "My Result" page fill automatically.</t>
  </si>
  <si>
    <t>Application ID</t>
  </si>
  <si>
    <t>Recording length (minutes)</t>
  </si>
  <si>
    <t>Customer name</t>
  </si>
  <si>
    <t>Recording uploaded on PRAGATI the same day? (Yes/No)</t>
  </si>
  <si>
    <t>RCM name</t>
  </si>
  <si>
    <t>Both sides clearly audible? (Yes/No)</t>
  </si>
  <si>
    <t>Date of call &amp; recording</t>
  </si>
  <si>
    <t>Evaluator</t>
  </si>
  <si>
    <t>No</t>
  </si>
  <si>
    <t>WHAT THE RCM MUST ASK / SAY ON THE CALL</t>
  </si>
  <si>
    <t>Points</t>
  </si>
  <si>
    <t>MUST</t>
  </si>
  <si>
    <t>Covered? (Yes / Half / No)</t>
  </si>
  <si>
    <t>Score</t>
  </si>
  <si>
    <t>What was missing — evaluator note</t>
  </si>
  <si>
    <t>lost (helper)</t>
  </si>
  <si>
    <t>A. CALL OPENING &amp; IDENTITY</t>
  </si>
  <si>
    <t>Minute 0–1.5</t>
  </si>
  <si>
    <t>A1</t>
  </si>
  <si>
    <t>Say at the start: "Yeh call record ho rahi hai, loan verification ke liye." State Application ID, customer name and village/town.</t>
  </si>
  <si>
    <t>A2</t>
  </si>
  <si>
    <t>Confirm you are talking to the MAIN BORROWER himself / herself — full name, on the applicant's own mobile number. Not a relative, agent or anyone else.</t>
  </si>
  <si>
    <t>A3</t>
  </si>
  <si>
    <t>Customer confirms a loan file has been logged with Prodigee Finance — without you telling him the details first.</t>
  </si>
  <si>
    <t>A4</t>
  </si>
  <si>
    <t>Identify the co-borrower(s) by name — speak to them on this call, or say on record that a separate call will be made. Speak the customer's language; ask open questions — he speaks first, you verify.</t>
  </si>
  <si>
    <t>B. LOAN AMOUNT, BCM VISIT &amp; INTEGRITY</t>
  </si>
  <si>
    <t>Minute 1.5–3.5</t>
  </si>
  <si>
    <t>B1</t>
  </si>
  <si>
    <t>LOAN AMOUNT: the customer states it himself (do NOT lead with the figure). Must be within 10% of the CAM amount — a bigger gap is a red flag (RF-2).</t>
  </si>
  <si>
    <t>B2</t>
  </si>
  <si>
    <t>BCM VISIT VERIFIED: "Prodigee se kaun aaye the?" — who came, did he see the business (EVERY income activity) AND the home? Visit not done or incomplete = file returned for physical PD again (RF-12).</t>
  </si>
  <si>
    <t>B3</t>
  </si>
  <si>
    <t>Ask: did anyone — Prodigee staff, agent or anyone else — ask for commission, fees or money for this loan? Tell him: ZERO COMMISSION — only official charges, in writing.</t>
  </si>
  <si>
    <t>B4</t>
  </si>
  <si>
    <t>Customer clearly understands: BUSINESS Loan Against Property — property will be MORTGAGED and the ORIGINAL papers deposited with Prodigee.</t>
  </si>
  <si>
    <t>B5</t>
  </si>
  <si>
    <t>PENDING DOCUMENTS: name each document still pending on PRAGATI and ask him to submit it. If nothing is pending, say so.</t>
  </si>
  <si>
    <t>C. END USE</t>
  </si>
  <si>
    <t>Minute 3.5–5</t>
  </si>
  <si>
    <t>C1</t>
  </si>
  <si>
    <t>END USE in the customer's own words — open question, do not read out the declared purpose. Probe: kitna, kahan, kab. Must match the End-Use Declaration / CAM (mismatch = RF-3).</t>
  </si>
  <si>
    <t>C2</t>
  </si>
  <si>
    <t>RESTRICTED USE ruled out: not speculation, not a new / unrelated business, not purchase of milch animals, nothing illegal.</t>
  </si>
  <si>
    <t>C3</t>
  </si>
  <si>
    <t>UTILISATION PLAN: how much goes where and by when — break-up for mixed use (e.g. stock + closing other loans).</t>
  </si>
  <si>
    <t>D. INCOME — CALL vs BCM ASSESSMENT</t>
  </si>
  <si>
    <t>Minute 5–9</t>
  </si>
  <si>
    <t>D1</t>
  </si>
  <si>
    <t>EVERY BUSINESS / income stream the CAM counts: what, where, since when, who runs it; scale — staff, customers per day, stock, capacity. Consistent with the PD Report?</t>
  </si>
  <si>
    <t>D2</t>
  </si>
  <si>
    <t>INCOME GRILLED per business: daily / monthly sales, profit margin %, lean season — customer's figures first. Ask for PROOF (bills, parchi, register, bank / AA credits). Within 20% of the CAM assessed income? Bigger gap = RF-4 (CAM back to BCM).</t>
  </si>
  <si>
    <t>D3</t>
  </si>
  <si>
    <t>REFERENCES: 2–3 names and mobile numbers of people he deals with — supplier, buyer, thekedar, society — to corroborate the main income.</t>
  </si>
  <si>
    <t>D4</t>
  </si>
  <si>
    <t>AGRICULTURE in full: land in whose name, acres, crops each season, yearly income, KCC. THEN the missed-income question: dairy / milk? wife, father, brother, son — any business or job? rent? "Koi aur aamdani jo report mein nahi likhi?" No farm land — say so.</t>
  </si>
  <si>
    <t>D5</t>
  </si>
  <si>
    <t>AA CHECKS on the call: any EMI bounce? any big credit / debit that is not routine? UPI per month vs cash? Are ALL bank accounts in the AA — any account left out? If the main transacting account is missing, pull it on the call with the customer's OTP.</t>
  </si>
  <si>
    <t>D6</t>
  </si>
  <si>
    <t>YOUR VIEW ON THE BCM ASSESSMENT — say it on record: too conservative, too aggressive, or right? Any income the BCM missed — you assess it and add it to the CAM. Earning members named and consistent with the CAM family table.</t>
  </si>
  <si>
    <t>E. OBLIGATIONS — CALL vs BUREAU vs CAM</t>
  </si>
  <si>
    <t>Minute 9–11</t>
  </si>
  <si>
    <t>E1</t>
  </si>
  <si>
    <t>LOANS LISTED BY THE CUSTOMER — company, EMI, since when — and reconciled by you against EVERY active loan in the bureau and the CAM obligation table. Any loan not in the CAM = RF-5 (re-run FOIR).</t>
  </si>
  <si>
    <t>E2</t>
  </si>
  <si>
    <t>ASK EACH ONE BY NAME, household-wide: samooh / group / MFI loan (including in the wife's name)? KCC? society / PACS? gold pledged? hand loan / bazaar udhaar?</t>
  </si>
  <si>
    <t>E3</t>
  </si>
  <si>
    <t>ENQUIRIES in the last 3 months: applied anywhere else? What happened — approved / rejected (why) / withdrawn / pending? Check against the bureau enquiry list.</t>
  </si>
  <si>
    <t>E4</t>
  </si>
  <si>
    <t>BOUNCES / OVERDUE: any EMI late or bounced? Any overdue today? Answer must match the bureau and AA; an admitted overdue is cleared before sanction.</t>
  </si>
  <si>
    <t>F. FAMILY &amp; CO-BORROWER</t>
  </si>
  <si>
    <t>Minute 11–12</t>
  </si>
  <si>
    <t>F1</t>
  </si>
  <si>
    <t>FAMILY: how many members, how many dependent, monthly household expense — within one of the CAM family table.</t>
  </si>
  <si>
    <t>F2</t>
  </si>
  <si>
    <t>CO-BORROWER SPOKEN TO on this call (or a separate call recorded): does she / he know the loan, the amount and the purpose, and agree to the mortgage? Female co-borrower — wife (or mother if unmarried) — is mandatory.</t>
  </si>
  <si>
    <t>F3</t>
  </si>
  <si>
    <t>PROPERTY OWNER &amp; HEIRS: in whose name; if ancestral — do brothers / sisters / heirs have a share; are all of them in the loan or giving NOC?</t>
  </si>
  <si>
    <t>G. COLLATERAL PROPERTY</t>
  </si>
  <si>
    <t>Minute 12–13</t>
  </si>
  <si>
    <t>G1</t>
  </si>
  <si>
    <t>WHICH PROPERTY: house / shop / plot, where; the ACTUAL owner as per papers; which ORIGINAL papers — registry, rin pustika, patta, naksha. Same property as the CAM / technical report?</t>
  </si>
  <si>
    <t>G2</t>
  </si>
  <si>
    <t>CUSTOMER'S OWN VALUE: "aaj bechni ho to kitne ki hai?" — sanity check against the technical valuation; a large gap is escalated.</t>
  </si>
  <si>
    <t>G3</t>
  </si>
  <si>
    <t>NO DISPUTE, NO COURT CASE, NO OTHER BANK / FI MORTGAGE OR CHARGE on the property — explicit confirmation. Any issue = RF-6 (STOP — Legal).</t>
  </si>
  <si>
    <t>H. REPAYMENT CAPACITY &amp; INTENT</t>
  </si>
  <si>
    <t>Minute 13–14</t>
  </si>
  <si>
    <t>H1</t>
  </si>
  <si>
    <t>EMI CAPACITY: "kitni EMI aaram se de payenge, kis kamai se?" — a figure tied to a specific cashflow; makes sense against stated income and loans (fails = RF-9).</t>
  </si>
  <si>
    <t>H2</t>
  </si>
  <si>
    <t>SURPLUS ALOUD: income − household expense − existing EMIs = surplus; does the new EMI fit? Consistent with the CAM surplus.</t>
  </si>
  <si>
    <t>H3</t>
  </si>
  <si>
    <t>INTENT: attitude to EMI, any past wilful delay, "EMI late hui to?", commitment to NACH auto-debit. Reluctance on mortgage, NACH, insurance or any condition = RF-10.</t>
  </si>
  <si>
    <t>I. DISCLOSURES, CLOSE &amp; YOUR DECISION</t>
  </si>
  <si>
    <t>Minute 14–16</t>
  </si>
  <si>
    <t>I1</t>
  </si>
  <si>
    <t>Say: ZERO COMMISSION — nobody is to be paid; all charges official and in writing. Indicative EMI for the applied amount — clearly indicative, not a promise.</t>
  </si>
  <si>
    <t>I2</t>
  </si>
  <si>
    <t>Confirm once more: BUSINESS Loan Against Property, mortgage — the customer is not expecting an unsecured loan, a government scheme or any waiver (RF-8).</t>
  </si>
  <si>
    <t>I3</t>
  </si>
  <si>
    <t>NEXT STEPS told: pending documents → if approved, SOFT SANCTION LETTER → SANCTION LETTER with KFS → DISBURSEMENT; the Operations team will call. How to complain (branch / nodal officer). "Aapka koi sawaal?" — answered.</t>
  </si>
  <si>
    <t>I4</t>
  </si>
  <si>
    <t>YOUR DECISION NOTE on record: every red flag raised (RF code) and how it will be resolved; every change the call forces in the CAM (income to add / reassess, obligation to add, FOIR re-run, end use); APPROVE / APPROVE WITH CONDITIONS / REJECT — with reasons. No approval past an open red flag.</t>
  </si>
  <si>
    <t>Recording valid? (10–20 minutes, uploaded same day, audible)</t>
  </si>
  <si>
    <t>Points applicable</t>
  </si>
  <si>
    <t>Points scored</t>
  </si>
  <si>
    <t>SCORE (out of 100)</t>
  </si>
  <si>
    <t>MUST items not fully covered (count)</t>
  </si>
  <si>
    <t>MUST items missed (list)</t>
  </si>
  <si>
    <t>RESULT</t>
  </si>
  <si>
    <t>MY PD AUDIO RESULT</t>
  </si>
  <si>
    <t>Read this after every Audio PD. It shows your score, what you missed and what to ask first next time. Nothing to fill here — it comes from the Scorecard.</t>
  </si>
  <si>
    <t>RCM</t>
  </si>
  <si>
    <t>Customer</t>
  </si>
  <si>
    <t>Date</t>
  </si>
  <si>
    <t>Recording length (min)</t>
  </si>
  <si>
    <t>MY SCORE</t>
  </si>
  <si>
    <t>Minimum to pass: 75. All MUST items must be Yes. 90+ is Excellent.</t>
  </si>
  <si>
    <t>HOW I DID — GROUP-WISE</t>
  </si>
  <si>
    <t>I got</t>
  </si>
  <si>
    <t>%</t>
  </si>
  <si>
    <t>Comment</t>
  </si>
  <si>
    <t>A</t>
  </si>
  <si>
    <t>Call Opening &amp; Identity</t>
  </si>
  <si>
    <t>B</t>
  </si>
  <si>
    <t>Loan Amount, BCM Visit &amp; Integrity</t>
  </si>
  <si>
    <t>C</t>
  </si>
  <si>
    <t>End Use</t>
  </si>
  <si>
    <t>D</t>
  </si>
  <si>
    <t>Income — Call Vs BCM Assessment</t>
  </si>
  <si>
    <t>E</t>
  </si>
  <si>
    <t>Obligations — Call Vs Bureau Vs Cam</t>
  </si>
  <si>
    <t>F</t>
  </si>
  <si>
    <t>Family &amp; Co-borrower</t>
  </si>
  <si>
    <t>G</t>
  </si>
  <si>
    <t>Collateral Property</t>
  </si>
  <si>
    <t>H</t>
  </si>
  <si>
    <t>Repayment Capacity &amp; Intent</t>
  </si>
  <si>
    <t>I</t>
  </si>
  <si>
    <t>Disclosures, Close &amp; Your Decision</t>
  </si>
  <si>
    <t>NEXT TIME — ASK THESE FIRST (the 3 items where I lost most points)</t>
  </si>
  <si>
    <t>MY CHECKLIST — WHAT I ASKED AND WHAT I MISSED</t>
  </si>
  <si>
    <t>Mark</t>
  </si>
  <si>
    <t>What was missing</t>
  </si>
  <si>
    <t>A1 ★</t>
  </si>
  <si>
    <t>A2 ★</t>
  </si>
  <si>
    <t>B1 ★</t>
  </si>
  <si>
    <t>B2 ★</t>
  </si>
  <si>
    <t>B4 ★</t>
  </si>
  <si>
    <t>C1 ★</t>
  </si>
  <si>
    <t>C2 ★</t>
  </si>
  <si>
    <t>D2 ★</t>
  </si>
  <si>
    <t>E1 ★</t>
  </si>
  <si>
    <t>F2 ★</t>
  </si>
  <si>
    <t>G3 ★</t>
  </si>
  <si>
    <t>I4 ★</t>
  </si>
  <si>
    <t>★ = MUST item. A MUST item marked ½ or ✘ means the recording is not accepted — call the customer again for those points (a short extra call covering only the missed points is fine).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</si>
</sst>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ptos Display"/>
      <charset val="1"/>
    </font>
    <font>
      <i/>
      <sz val="11"/>
      <color rgb="FF595959"/>
      <name val="Aptos Display"/>
      <charset val="1"/>
    </font>
    <font>
      <b/>
      <sz val="11"/>
      <name val="Aptos Display"/>
      <charset val="1"/>
    </font>
    <font>
      <sz val="11"/>
      <name val="Aptos Display"/>
      <charset val="1"/>
    </font>
    <font>
      <b/>
      <sz val="11"/>
      <color rgb="FFFFFFFF"/>
      <name val="Aptos Display"/>
      <charset val="1"/>
    </font>
    <font>
      <sz val="11"/>
      <color rgb="FFA6A6A6"/>
      <name val="Aptos Display"/>
      <charset val="1"/>
    </font>
    <font>
      <b/>
      <sz val="11"/>
      <color rgb="FF7C1D1D"/>
      <name val="Aptos Display"/>
      <charset val="1"/>
    </font>
    <font>
      <b/>
      <sz val="14"/>
      <name val="Aptos Display"/>
      <charset val="1"/>
    </font>
    <font>
      <b/>
      <sz val="12"/>
      <name val="Aptos Display"/>
      <charset val="1"/>
    </font>
    <font>
      <b/>
      <sz val="16"/>
      <color rgb="FFFFFFFF"/>
      <name val="Aptos Display"/>
      <charset val="1"/>
    </font>
    <font>
      <b/>
      <sz val="12"/>
      <color rgb="FFFFFFFF"/>
      <name val="Aptos Display"/>
      <charset val="1"/>
    </font>
    <font>
      <b/>
      <sz val="20"/>
      <name val="Aptos Display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F7FC"/>
        <bgColor rgb="FFFFFFFF"/>
      </patternFill>
    </fill>
    <fill>
      <patternFill patternType="solid">
        <fgColor rgb="FFFFF2CC"/>
        <bgColor rgb="FFFBE4E4"/>
      </patternFill>
    </fill>
    <fill>
      <patternFill patternType="solid">
        <fgColor rgb="FF2E5496"/>
        <b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2">
    <dxf>
      <fill>
        <patternFill>
          <bgColor rgb="FFFBE4E4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BE4E4"/>
        </patternFill>
      </fill>
    </dxf>
    <dxf>
      <fill>
        <patternFill>
          <bgColor rgb="FFE2EFDA"/>
        </patternFill>
      </fill>
    </dxf>
    <dxf>
      <fill>
        <patternFill>
          <bgColor rgb="FFFBE4E4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BE4E4"/>
        </patternFill>
      </fill>
    </dxf>
    <dxf>
      <fill>
        <patternFill>
          <bgColor rgb="FFE2EFDA"/>
        </patternFill>
      </fill>
    </dxf>
    <dxf>
      <fill>
        <patternFill>
          <bgColor rgb="FFFB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C1D1D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4F7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"/>
  <sheetViews>
    <sheetView zoomScaleNormal="100" workbookViewId="0">
      <pane ySplit="9" topLeftCell="A34" activePane="bottomLeft" state="frozen"/>
      <selection pane="bottomLeft" activeCell="B13" sqref="B13"/>
    </sheetView>
  </sheetViews>
  <sheetFormatPr defaultColWidth="8.6640625" defaultRowHeight="14.4" x14ac:dyDescent="0.3"/>
  <cols>
    <col min="1" max="1" width="13" style="15" customWidth="1"/>
    <col min="2" max="2" width="78" style="15" customWidth="1"/>
    <col min="3" max="3" width="8.88671875" style="15" customWidth="1"/>
    <col min="4" max="4" width="13.21875" style="15" customWidth="1"/>
    <col min="5" max="5" width="12" style="15" customWidth="1"/>
    <col min="6" max="6" width="7" style="15" customWidth="1"/>
    <col min="7" max="7" width="40" style="15" customWidth="1"/>
    <col min="8" max="8" width="8" style="15" customWidth="1"/>
    <col min="9" max="16384" width="8.6640625" style="15"/>
  </cols>
  <sheetData>
    <row r="1" spans="1:8" ht="18" x14ac:dyDescent="0.3">
      <c r="A1" s="14" t="s">
        <v>0</v>
      </c>
      <c r="B1" s="14"/>
      <c r="C1" s="14"/>
      <c r="D1" s="14"/>
      <c r="E1" s="14"/>
      <c r="F1" s="14"/>
      <c r="G1" s="14"/>
    </row>
    <row r="2" spans="1:8" x14ac:dyDescent="0.3">
      <c r="A2" s="16" t="s">
        <v>1</v>
      </c>
      <c r="B2" s="16"/>
      <c r="C2" s="16"/>
      <c r="D2" s="16"/>
      <c r="E2" s="16"/>
      <c r="F2" s="16"/>
      <c r="G2" s="16"/>
    </row>
    <row r="4" spans="1:8" ht="31.2" customHeight="1" x14ac:dyDescent="0.3">
      <c r="A4" s="17" t="s">
        <v>2</v>
      </c>
      <c r="B4" s="18"/>
      <c r="C4" s="19" t="s">
        <v>3</v>
      </c>
      <c r="D4" s="19"/>
      <c r="E4" s="20"/>
      <c r="F4" s="20"/>
      <c r="G4" s="20"/>
    </row>
    <row r="5" spans="1:8" ht="28.8" x14ac:dyDescent="0.3">
      <c r="A5" s="17" t="s">
        <v>4</v>
      </c>
      <c r="B5" s="18"/>
      <c r="C5" s="19" t="s">
        <v>5</v>
      </c>
      <c r="D5" s="19"/>
      <c r="E5" s="21"/>
      <c r="F5" s="21"/>
      <c r="G5" s="21"/>
    </row>
    <row r="6" spans="1:8" ht="34.200000000000003" customHeight="1" x14ac:dyDescent="0.3">
      <c r="A6" s="17" t="s">
        <v>6</v>
      </c>
      <c r="B6" s="18"/>
      <c r="C6" s="19" t="s">
        <v>7</v>
      </c>
      <c r="D6" s="19"/>
      <c r="E6" s="21"/>
      <c r="F6" s="21"/>
      <c r="G6" s="21"/>
    </row>
    <row r="7" spans="1:8" ht="28.8" x14ac:dyDescent="0.3">
      <c r="A7" s="17" t="s">
        <v>8</v>
      </c>
      <c r="B7" s="18"/>
      <c r="C7" s="19" t="s">
        <v>9</v>
      </c>
      <c r="D7" s="19"/>
      <c r="E7" s="21"/>
      <c r="F7" s="21"/>
      <c r="G7" s="21"/>
    </row>
    <row r="9" spans="1:8" ht="43.2" x14ac:dyDescent="0.3">
      <c r="A9" s="9" t="s">
        <v>10</v>
      </c>
      <c r="B9" s="9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22" t="s">
        <v>17</v>
      </c>
    </row>
    <row r="10" spans="1:8" x14ac:dyDescent="0.3">
      <c r="A10" s="8" t="s">
        <v>18</v>
      </c>
      <c r="B10" s="8"/>
      <c r="C10" s="10">
        <v>8</v>
      </c>
      <c r="D10" s="10"/>
      <c r="E10" s="10"/>
      <c r="F10" s="10"/>
      <c r="G10" s="10" t="s">
        <v>19</v>
      </c>
    </row>
    <row r="11" spans="1:8" ht="28.8" x14ac:dyDescent="0.3">
      <c r="A11" s="23" t="s">
        <v>20</v>
      </c>
      <c r="B11" s="12" t="s">
        <v>21</v>
      </c>
      <c r="C11" s="24">
        <v>2</v>
      </c>
      <c r="D11" s="25" t="s">
        <v>13</v>
      </c>
      <c r="E11" s="26"/>
      <c r="F11" s="24">
        <f>IF(E11="Yes",C11,IF(E11="Half",C11/2,0))</f>
        <v>0</v>
      </c>
      <c r="G11" s="18"/>
      <c r="H11" s="22">
        <f>IF(E11="Yes",0,IF(E11="Half",C11/2,C11)+(1000-ROW())/100000)</f>
        <v>2.00989</v>
      </c>
    </row>
    <row r="12" spans="1:8" ht="28.8" x14ac:dyDescent="0.3">
      <c r="A12" s="23" t="s">
        <v>22</v>
      </c>
      <c r="B12" s="12" t="s">
        <v>23</v>
      </c>
      <c r="C12" s="24">
        <v>2</v>
      </c>
      <c r="D12" s="25" t="s">
        <v>13</v>
      </c>
      <c r="E12" s="26"/>
      <c r="F12" s="24">
        <f>IF(E12="Yes",C12,IF(E12="Half",C12/2,0))</f>
        <v>0</v>
      </c>
      <c r="G12" s="18"/>
      <c r="H12" s="22">
        <f>IF(E12="Yes",0,IF(E12="Half",C12/2,C12)+(1000-ROW())/100000)</f>
        <v>2.0098799999999999</v>
      </c>
    </row>
    <row r="13" spans="1:8" ht="28.8" x14ac:dyDescent="0.3">
      <c r="A13" s="23" t="s">
        <v>24</v>
      </c>
      <c r="B13" s="12" t="s">
        <v>25</v>
      </c>
      <c r="C13" s="24">
        <v>2</v>
      </c>
      <c r="D13" s="25"/>
      <c r="E13" s="26"/>
      <c r="F13" s="24">
        <f>IF(E13="Yes",C13,IF(E13="Half",C13/2,0))</f>
        <v>0</v>
      </c>
      <c r="G13" s="18"/>
      <c r="H13" s="22">
        <f>IF(E13="Yes",0,IF(E13="Half",C13/2,C13)+(1000-ROW())/100000)</f>
        <v>2.0098699999999998</v>
      </c>
    </row>
    <row r="14" spans="1:8" ht="43.2" x14ac:dyDescent="0.3">
      <c r="A14" s="23" t="s">
        <v>26</v>
      </c>
      <c r="B14" s="12" t="s">
        <v>27</v>
      </c>
      <c r="C14" s="24">
        <v>2</v>
      </c>
      <c r="D14" s="25"/>
      <c r="E14" s="26"/>
      <c r="F14" s="24">
        <f>IF(E14="Yes",C14,IF(E14="Half",C14/2,0))</f>
        <v>0</v>
      </c>
      <c r="G14" s="18"/>
      <c r="H14" s="22">
        <f>IF(E14="Yes",0,IF(E14="Half",C14/2,C14)+(1000-ROW())/100000)</f>
        <v>2.0098600000000002</v>
      </c>
    </row>
    <row r="15" spans="1:8" x14ac:dyDescent="0.3">
      <c r="A15" s="8" t="s">
        <v>28</v>
      </c>
      <c r="B15" s="8"/>
      <c r="C15" s="10">
        <v>14</v>
      </c>
      <c r="D15" s="10"/>
      <c r="E15" s="10"/>
      <c r="F15" s="10"/>
      <c r="G15" s="10" t="s">
        <v>29</v>
      </c>
    </row>
    <row r="16" spans="1:8" ht="28.8" x14ac:dyDescent="0.3">
      <c r="A16" s="23" t="s">
        <v>30</v>
      </c>
      <c r="B16" s="12" t="s">
        <v>31</v>
      </c>
      <c r="C16" s="24">
        <v>3</v>
      </c>
      <c r="D16" s="25" t="s">
        <v>13</v>
      </c>
      <c r="E16" s="26"/>
      <c r="F16" s="24">
        <f>IF(E16="Yes",C16,IF(E16="Half",C16/2,0))</f>
        <v>0</v>
      </c>
      <c r="G16" s="18"/>
      <c r="H16" s="22">
        <f>IF(E16="Yes",0,IF(E16="Half",C16/2,C16)+(1000-ROW())/100000)</f>
        <v>3.0098400000000001</v>
      </c>
    </row>
    <row r="17" spans="1:8" ht="43.2" x14ac:dyDescent="0.3">
      <c r="A17" s="23" t="s">
        <v>32</v>
      </c>
      <c r="B17" s="12" t="s">
        <v>33</v>
      </c>
      <c r="C17" s="24">
        <v>4</v>
      </c>
      <c r="D17" s="25" t="s">
        <v>13</v>
      </c>
      <c r="E17" s="26"/>
      <c r="F17" s="24">
        <f>IF(E17="Yes",C17,IF(E17="Half",C17/2,0))</f>
        <v>0</v>
      </c>
      <c r="G17" s="18"/>
      <c r="H17" s="22">
        <f>IF(E17="Yes",0,IF(E17="Half",C17/2,C17)+(1000-ROW())/100000)</f>
        <v>4.00983</v>
      </c>
    </row>
    <row r="18" spans="1:8" ht="28.8" x14ac:dyDescent="0.3">
      <c r="A18" s="23" t="s">
        <v>34</v>
      </c>
      <c r="B18" s="12" t="s">
        <v>35</v>
      </c>
      <c r="C18" s="24">
        <v>2</v>
      </c>
      <c r="D18" s="25"/>
      <c r="E18" s="26"/>
      <c r="F18" s="24">
        <f>IF(E18="Yes",C18,IF(E18="Half",C18/2,0))</f>
        <v>0</v>
      </c>
      <c r="G18" s="18"/>
      <c r="H18" s="22">
        <f>IF(E18="Yes",0,IF(E18="Half",C18/2,C18)+(1000-ROW())/100000)</f>
        <v>2.0098199999999999</v>
      </c>
    </row>
    <row r="19" spans="1:8" ht="28.8" x14ac:dyDescent="0.3">
      <c r="A19" s="23" t="s">
        <v>36</v>
      </c>
      <c r="B19" s="12" t="s">
        <v>37</v>
      </c>
      <c r="C19" s="24">
        <v>3</v>
      </c>
      <c r="D19" s="25" t="s">
        <v>13</v>
      </c>
      <c r="E19" s="26"/>
      <c r="F19" s="24">
        <f>IF(E19="Yes",C19,IF(E19="Half",C19/2,0))</f>
        <v>0</v>
      </c>
      <c r="G19" s="18"/>
      <c r="H19" s="22">
        <f>IF(E19="Yes",0,IF(E19="Half",C19/2,C19)+(1000-ROW())/100000)</f>
        <v>3.0098099999999999</v>
      </c>
    </row>
    <row r="20" spans="1:8" ht="28.8" x14ac:dyDescent="0.3">
      <c r="A20" s="23" t="s">
        <v>38</v>
      </c>
      <c r="B20" s="12" t="s">
        <v>39</v>
      </c>
      <c r="C20" s="24">
        <v>2</v>
      </c>
      <c r="D20" s="25"/>
      <c r="E20" s="26"/>
      <c r="F20" s="24">
        <f>IF(E20="Yes",C20,IF(E20="Half",C20/2,0))</f>
        <v>0</v>
      </c>
      <c r="G20" s="18"/>
      <c r="H20" s="22">
        <f>IF(E20="Yes",0,IF(E20="Half",C20/2,C20)+(1000-ROW())/100000)</f>
        <v>2.0097999999999998</v>
      </c>
    </row>
    <row r="21" spans="1:8" x14ac:dyDescent="0.3">
      <c r="A21" s="8" t="s">
        <v>40</v>
      </c>
      <c r="B21" s="8"/>
      <c r="C21" s="10">
        <v>10</v>
      </c>
      <c r="D21" s="10"/>
      <c r="E21" s="10"/>
      <c r="F21" s="10"/>
      <c r="G21" s="10" t="s">
        <v>41</v>
      </c>
    </row>
    <row r="22" spans="1:8" ht="28.8" x14ac:dyDescent="0.3">
      <c r="A22" s="23" t="s">
        <v>42</v>
      </c>
      <c r="B22" s="12" t="s">
        <v>43</v>
      </c>
      <c r="C22" s="24">
        <v>4</v>
      </c>
      <c r="D22" s="25" t="s">
        <v>13</v>
      </c>
      <c r="E22" s="26"/>
      <c r="F22" s="24">
        <f>IF(E22="Yes",C22,IF(E22="Half",C22/2,0))</f>
        <v>0</v>
      </c>
      <c r="G22" s="18"/>
      <c r="H22" s="22">
        <f>IF(E22="Yes",0,IF(E22="Half",C22/2,C22)+(1000-ROW())/100000)</f>
        <v>4.0097800000000001</v>
      </c>
    </row>
    <row r="23" spans="1:8" ht="28.8" x14ac:dyDescent="0.3">
      <c r="A23" s="23" t="s">
        <v>44</v>
      </c>
      <c r="B23" s="12" t="s">
        <v>45</v>
      </c>
      <c r="C23" s="24">
        <v>3</v>
      </c>
      <c r="D23" s="25" t="s">
        <v>13</v>
      </c>
      <c r="E23" s="26"/>
      <c r="F23" s="24">
        <f>IF(E23="Yes",C23,IF(E23="Half",C23/2,0))</f>
        <v>0</v>
      </c>
      <c r="G23" s="18"/>
      <c r="H23" s="22">
        <f>IF(E23="Yes",0,IF(E23="Half",C23/2,C23)+(1000-ROW())/100000)</f>
        <v>3.0097700000000001</v>
      </c>
    </row>
    <row r="24" spans="1:8" ht="28.8" x14ac:dyDescent="0.3">
      <c r="A24" s="23" t="s">
        <v>46</v>
      </c>
      <c r="B24" s="12" t="s">
        <v>47</v>
      </c>
      <c r="C24" s="24">
        <v>3</v>
      </c>
      <c r="D24" s="25"/>
      <c r="E24" s="26"/>
      <c r="F24" s="24">
        <f>IF(E24="Yes",C24,IF(E24="Half",C24/2,0))</f>
        <v>0</v>
      </c>
      <c r="G24" s="18"/>
      <c r="H24" s="22">
        <f>IF(E24="Yes",0,IF(E24="Half",C24/2,C24)+(1000-ROW())/100000)</f>
        <v>3.00976</v>
      </c>
    </row>
    <row r="25" spans="1:8" x14ac:dyDescent="0.3">
      <c r="A25" s="8" t="s">
        <v>48</v>
      </c>
      <c r="B25" s="8"/>
      <c r="C25" s="10">
        <v>22</v>
      </c>
      <c r="D25" s="10"/>
      <c r="E25" s="10"/>
      <c r="F25" s="10"/>
      <c r="G25" s="10" t="s">
        <v>49</v>
      </c>
    </row>
    <row r="26" spans="1:8" ht="28.8" x14ac:dyDescent="0.3">
      <c r="A26" s="23" t="s">
        <v>50</v>
      </c>
      <c r="B26" s="12" t="s">
        <v>51</v>
      </c>
      <c r="C26" s="24">
        <v>3</v>
      </c>
      <c r="D26" s="25"/>
      <c r="E26" s="26"/>
      <c r="F26" s="24">
        <f t="shared" ref="F26:F31" si="0">IF(E26="Yes",C26,IF(E26="Half",C26/2,0))</f>
        <v>0</v>
      </c>
      <c r="G26" s="18"/>
      <c r="H26" s="22">
        <f t="shared" ref="H26:H31" si="1">IF(E26="Yes",0,IF(E26="Half",C26/2,C26)+(1000-ROW())/100000)</f>
        <v>3.0097399999999999</v>
      </c>
    </row>
    <row r="27" spans="1:8" ht="43.2" x14ac:dyDescent="0.3">
      <c r="A27" s="23" t="s">
        <v>52</v>
      </c>
      <c r="B27" s="12" t="s">
        <v>53</v>
      </c>
      <c r="C27" s="24">
        <v>6</v>
      </c>
      <c r="D27" s="25" t="s">
        <v>13</v>
      </c>
      <c r="E27" s="26"/>
      <c r="F27" s="24">
        <f t="shared" si="0"/>
        <v>0</v>
      </c>
      <c r="G27" s="18"/>
      <c r="H27" s="22">
        <f t="shared" si="1"/>
        <v>6.0097300000000002</v>
      </c>
    </row>
    <row r="28" spans="1:8" ht="28.8" x14ac:dyDescent="0.3">
      <c r="A28" s="23" t="s">
        <v>54</v>
      </c>
      <c r="B28" s="12" t="s">
        <v>55</v>
      </c>
      <c r="C28" s="24">
        <v>2</v>
      </c>
      <c r="D28" s="25"/>
      <c r="E28" s="26"/>
      <c r="F28" s="24">
        <f t="shared" si="0"/>
        <v>0</v>
      </c>
      <c r="G28" s="18"/>
      <c r="H28" s="22">
        <f t="shared" si="1"/>
        <v>2.0097200000000002</v>
      </c>
    </row>
    <row r="29" spans="1:8" ht="43.2" x14ac:dyDescent="0.3">
      <c r="A29" s="23" t="s">
        <v>56</v>
      </c>
      <c r="B29" s="12" t="s">
        <v>57</v>
      </c>
      <c r="C29" s="24">
        <v>4</v>
      </c>
      <c r="D29" s="25"/>
      <c r="E29" s="26"/>
      <c r="F29" s="24">
        <f t="shared" si="0"/>
        <v>0</v>
      </c>
      <c r="G29" s="18"/>
      <c r="H29" s="22">
        <f t="shared" si="1"/>
        <v>4.0097100000000001</v>
      </c>
    </row>
    <row r="30" spans="1:8" ht="43.2" x14ac:dyDescent="0.3">
      <c r="A30" s="23" t="s">
        <v>58</v>
      </c>
      <c r="B30" s="12" t="s">
        <v>59</v>
      </c>
      <c r="C30" s="24">
        <v>4</v>
      </c>
      <c r="D30" s="25"/>
      <c r="E30" s="26"/>
      <c r="F30" s="24">
        <f t="shared" si="0"/>
        <v>0</v>
      </c>
      <c r="G30" s="18"/>
      <c r="H30" s="22">
        <f t="shared" si="1"/>
        <v>4.0096999999999996</v>
      </c>
    </row>
    <row r="31" spans="1:8" ht="43.2" x14ac:dyDescent="0.3">
      <c r="A31" s="23" t="s">
        <v>60</v>
      </c>
      <c r="B31" s="12" t="s">
        <v>61</v>
      </c>
      <c r="C31" s="24">
        <v>3</v>
      </c>
      <c r="D31" s="25"/>
      <c r="E31" s="26"/>
      <c r="F31" s="24">
        <f t="shared" si="0"/>
        <v>0</v>
      </c>
      <c r="G31" s="18"/>
      <c r="H31" s="22">
        <f t="shared" si="1"/>
        <v>3.00969</v>
      </c>
    </row>
    <row r="32" spans="1:8" x14ac:dyDescent="0.3">
      <c r="A32" s="8" t="s">
        <v>62</v>
      </c>
      <c r="B32" s="8"/>
      <c r="C32" s="10">
        <v>12</v>
      </c>
      <c r="D32" s="10"/>
      <c r="E32" s="10"/>
      <c r="F32" s="10"/>
      <c r="G32" s="10" t="s">
        <v>63</v>
      </c>
    </row>
    <row r="33" spans="1:8" ht="43.2" x14ac:dyDescent="0.3">
      <c r="A33" s="23" t="s">
        <v>64</v>
      </c>
      <c r="B33" s="12" t="s">
        <v>65</v>
      </c>
      <c r="C33" s="24">
        <v>5</v>
      </c>
      <c r="D33" s="25" t="s">
        <v>13</v>
      </c>
      <c r="E33" s="26"/>
      <c r="F33" s="24">
        <f>IF(E33="Yes",C33,IF(E33="Half",C33/2,0))</f>
        <v>0</v>
      </c>
      <c r="G33" s="18"/>
      <c r="H33" s="22">
        <f>IF(E33="Yes",0,IF(E33="Half",C33/2,C33)+(1000-ROW())/100000)</f>
        <v>5.0096699999999998</v>
      </c>
    </row>
    <row r="34" spans="1:8" ht="28.8" x14ac:dyDescent="0.3">
      <c r="A34" s="23" t="s">
        <v>66</v>
      </c>
      <c r="B34" s="12" t="s">
        <v>67</v>
      </c>
      <c r="C34" s="24">
        <v>3</v>
      </c>
      <c r="D34" s="25"/>
      <c r="E34" s="26"/>
      <c r="F34" s="24">
        <f>IF(E34="Yes",C34,IF(E34="Half",C34/2,0))</f>
        <v>0</v>
      </c>
      <c r="G34" s="18"/>
      <c r="H34" s="22">
        <f>IF(E34="Yes",0,IF(E34="Half",C34/2,C34)+(1000-ROW())/100000)</f>
        <v>3.0096599999999998</v>
      </c>
    </row>
    <row r="35" spans="1:8" ht="28.8" x14ac:dyDescent="0.3">
      <c r="A35" s="23" t="s">
        <v>68</v>
      </c>
      <c r="B35" s="12" t="s">
        <v>69</v>
      </c>
      <c r="C35" s="24">
        <v>2</v>
      </c>
      <c r="D35" s="25"/>
      <c r="E35" s="26"/>
      <c r="F35" s="24">
        <f>IF(E35="Yes",C35,IF(E35="Half",C35/2,0))</f>
        <v>0</v>
      </c>
      <c r="G35" s="18"/>
      <c r="H35" s="22">
        <f>IF(E35="Yes",0,IF(E35="Half",C35/2,C35)+(1000-ROW())/100000)</f>
        <v>2.0096500000000002</v>
      </c>
    </row>
    <row r="36" spans="1:8" ht="28.8" x14ac:dyDescent="0.3">
      <c r="A36" s="23" t="s">
        <v>70</v>
      </c>
      <c r="B36" s="12" t="s">
        <v>71</v>
      </c>
      <c r="C36" s="24">
        <v>2</v>
      </c>
      <c r="D36" s="25"/>
      <c r="E36" s="26"/>
      <c r="F36" s="24">
        <f>IF(E36="Yes",C36,IF(E36="Half",C36/2,0))</f>
        <v>0</v>
      </c>
      <c r="G36" s="18"/>
      <c r="H36" s="22">
        <f>IF(E36="Yes",0,IF(E36="Half",C36/2,C36)+(1000-ROW())/100000)</f>
        <v>2.0096400000000001</v>
      </c>
    </row>
    <row r="37" spans="1:8" x14ac:dyDescent="0.3">
      <c r="A37" s="8" t="s">
        <v>72</v>
      </c>
      <c r="B37" s="8"/>
      <c r="C37" s="10">
        <v>8</v>
      </c>
      <c r="D37" s="10"/>
      <c r="E37" s="10"/>
      <c r="F37" s="10"/>
      <c r="G37" s="10" t="s">
        <v>73</v>
      </c>
    </row>
    <row r="38" spans="1:8" ht="28.8" x14ac:dyDescent="0.3">
      <c r="A38" s="23" t="s">
        <v>74</v>
      </c>
      <c r="B38" s="12" t="s">
        <v>75</v>
      </c>
      <c r="C38" s="24">
        <v>2</v>
      </c>
      <c r="D38" s="25"/>
      <c r="E38" s="26"/>
      <c r="F38" s="24">
        <f>IF(E38="Yes",C38,IF(E38="Half",C38/2,0))</f>
        <v>0</v>
      </c>
      <c r="G38" s="18"/>
      <c r="H38" s="22">
        <f>IF(E38="Yes",0,IF(E38="Half",C38/2,C38)+(1000-ROW())/100000)</f>
        <v>2.00962</v>
      </c>
    </row>
    <row r="39" spans="1:8" ht="43.2" x14ac:dyDescent="0.3">
      <c r="A39" s="23" t="s">
        <v>76</v>
      </c>
      <c r="B39" s="12" t="s">
        <v>77</v>
      </c>
      <c r="C39" s="24">
        <v>3</v>
      </c>
      <c r="D39" s="25" t="s">
        <v>13</v>
      </c>
      <c r="E39" s="26"/>
      <c r="F39" s="24">
        <f>IF(E39="Yes",C39,IF(E39="Half",C39/2,0))</f>
        <v>0</v>
      </c>
      <c r="G39" s="18"/>
      <c r="H39" s="22">
        <f>IF(E39="Yes",0,IF(E39="Half",C39/2,C39)+(1000-ROW())/100000)</f>
        <v>3.0096099999999999</v>
      </c>
    </row>
    <row r="40" spans="1:8" ht="28.8" x14ac:dyDescent="0.3">
      <c r="A40" s="23" t="s">
        <v>78</v>
      </c>
      <c r="B40" s="12" t="s">
        <v>79</v>
      </c>
      <c r="C40" s="24">
        <v>3</v>
      </c>
      <c r="D40" s="25"/>
      <c r="E40" s="26"/>
      <c r="F40" s="24">
        <f>IF(E40="Yes",C40,IF(E40="Half",C40/2,0))</f>
        <v>0</v>
      </c>
      <c r="G40" s="18"/>
      <c r="H40" s="22">
        <f>IF(E40="Yes",0,IF(E40="Half",C40/2,C40)+(1000-ROW())/100000)</f>
        <v>3.0095999999999998</v>
      </c>
    </row>
    <row r="41" spans="1:8" x14ac:dyDescent="0.3">
      <c r="A41" s="8" t="s">
        <v>80</v>
      </c>
      <c r="B41" s="8"/>
      <c r="C41" s="10">
        <v>8</v>
      </c>
      <c r="D41" s="10"/>
      <c r="E41" s="10"/>
      <c r="F41" s="10"/>
      <c r="G41" s="10" t="s">
        <v>81</v>
      </c>
    </row>
    <row r="42" spans="1:8" ht="43.2" x14ac:dyDescent="0.3">
      <c r="A42" s="23" t="s">
        <v>82</v>
      </c>
      <c r="B42" s="12" t="s">
        <v>83</v>
      </c>
      <c r="C42" s="24">
        <v>3</v>
      </c>
      <c r="D42" s="25"/>
      <c r="E42" s="26"/>
      <c r="F42" s="24">
        <f>IF(E42="Yes",C42,IF(E42="Half",C42/2,0))</f>
        <v>0</v>
      </c>
      <c r="G42" s="18"/>
      <c r="H42" s="22">
        <f>IF(E42="Yes",0,IF(E42="Half",C42/2,C42)+(1000-ROW())/100000)</f>
        <v>3.0095800000000001</v>
      </c>
    </row>
    <row r="43" spans="1:8" ht="28.8" x14ac:dyDescent="0.3">
      <c r="A43" s="23" t="s">
        <v>84</v>
      </c>
      <c r="B43" s="12" t="s">
        <v>85</v>
      </c>
      <c r="C43" s="24">
        <v>2</v>
      </c>
      <c r="D43" s="25"/>
      <c r="E43" s="26"/>
      <c r="F43" s="24">
        <f>IF(E43="Yes",C43,IF(E43="Half",C43/2,0))</f>
        <v>0</v>
      </c>
      <c r="G43" s="18"/>
      <c r="H43" s="22">
        <f>IF(E43="Yes",0,IF(E43="Half",C43/2,C43)+(1000-ROW())/100000)</f>
        <v>2.0095700000000001</v>
      </c>
    </row>
    <row r="44" spans="1:8" ht="28.8" x14ac:dyDescent="0.3">
      <c r="A44" s="23" t="s">
        <v>86</v>
      </c>
      <c r="B44" s="12" t="s">
        <v>87</v>
      </c>
      <c r="C44" s="24">
        <v>3</v>
      </c>
      <c r="D44" s="25" t="s">
        <v>13</v>
      </c>
      <c r="E44" s="26"/>
      <c r="F44" s="24">
        <f>IF(E44="Yes",C44,IF(E44="Half",C44/2,0))</f>
        <v>0</v>
      </c>
      <c r="G44" s="18"/>
      <c r="H44" s="22">
        <f>IF(E44="Yes",0,IF(E44="Half",C44/2,C44)+(1000-ROW())/100000)</f>
        <v>3.00956</v>
      </c>
    </row>
    <row r="45" spans="1:8" x14ac:dyDescent="0.3">
      <c r="A45" s="8" t="s">
        <v>88</v>
      </c>
      <c r="B45" s="8"/>
      <c r="C45" s="10">
        <v>8</v>
      </c>
      <c r="D45" s="10"/>
      <c r="E45" s="10"/>
      <c r="F45" s="10"/>
      <c r="G45" s="10" t="s">
        <v>89</v>
      </c>
    </row>
    <row r="46" spans="1:8" ht="28.8" x14ac:dyDescent="0.3">
      <c r="A46" s="23" t="s">
        <v>90</v>
      </c>
      <c r="B46" s="12" t="s">
        <v>91</v>
      </c>
      <c r="C46" s="24">
        <v>3</v>
      </c>
      <c r="D46" s="25"/>
      <c r="E46" s="26"/>
      <c r="F46" s="24">
        <f>IF(E46="Yes",C46,IF(E46="Half",C46/2,0))</f>
        <v>0</v>
      </c>
      <c r="G46" s="18"/>
      <c r="H46" s="22">
        <f>IF(E46="Yes",0,IF(E46="Half",C46/2,C46)+(1000-ROW())/100000)</f>
        <v>3.0095399999999999</v>
      </c>
    </row>
    <row r="47" spans="1:8" ht="28.8" x14ac:dyDescent="0.3">
      <c r="A47" s="23" t="s">
        <v>92</v>
      </c>
      <c r="B47" s="12" t="s">
        <v>93</v>
      </c>
      <c r="C47" s="24">
        <v>2</v>
      </c>
      <c r="D47" s="25"/>
      <c r="E47" s="26"/>
      <c r="F47" s="24">
        <f>IF(E47="Yes",C47,IF(E47="Half",C47/2,0))</f>
        <v>0</v>
      </c>
      <c r="G47" s="18"/>
      <c r="H47" s="22">
        <f>IF(E47="Yes",0,IF(E47="Half",C47/2,C47)+(1000-ROW())/100000)</f>
        <v>2.0095299999999998</v>
      </c>
    </row>
    <row r="48" spans="1:8" ht="28.8" x14ac:dyDescent="0.3">
      <c r="A48" s="23" t="s">
        <v>94</v>
      </c>
      <c r="B48" s="12" t="s">
        <v>95</v>
      </c>
      <c r="C48" s="24">
        <v>3</v>
      </c>
      <c r="D48" s="25"/>
      <c r="E48" s="26"/>
      <c r="F48" s="24">
        <f>IF(E48="Yes",C48,IF(E48="Half",C48/2,0))</f>
        <v>0</v>
      </c>
      <c r="G48" s="18"/>
      <c r="H48" s="22">
        <f>IF(E48="Yes",0,IF(E48="Half",C48/2,C48)+(1000-ROW())/100000)</f>
        <v>3.0095200000000002</v>
      </c>
    </row>
    <row r="49" spans="1:8" x14ac:dyDescent="0.3">
      <c r="A49" s="8" t="s">
        <v>96</v>
      </c>
      <c r="B49" s="8"/>
      <c r="C49" s="10">
        <v>10</v>
      </c>
      <c r="D49" s="10"/>
      <c r="E49" s="10"/>
      <c r="F49" s="10"/>
      <c r="G49" s="10" t="s">
        <v>97</v>
      </c>
    </row>
    <row r="50" spans="1:8" ht="28.8" x14ac:dyDescent="0.3">
      <c r="A50" s="23" t="s">
        <v>98</v>
      </c>
      <c r="B50" s="12" t="s">
        <v>99</v>
      </c>
      <c r="C50" s="24">
        <v>3</v>
      </c>
      <c r="D50" s="25"/>
      <c r="E50" s="26"/>
      <c r="F50" s="24">
        <f>IF(E50="Yes",C50,IF(E50="Half",C50/2,0))</f>
        <v>0</v>
      </c>
      <c r="G50" s="18"/>
      <c r="H50" s="22">
        <f>IF(E50="Yes",0,IF(E50="Half",C50/2,C50)+(1000-ROW())/100000)</f>
        <v>3.0095000000000001</v>
      </c>
    </row>
    <row r="51" spans="1:8" ht="28.8" x14ac:dyDescent="0.3">
      <c r="A51" s="23" t="s">
        <v>100</v>
      </c>
      <c r="B51" s="12" t="s">
        <v>101</v>
      </c>
      <c r="C51" s="24">
        <v>2</v>
      </c>
      <c r="D51" s="25"/>
      <c r="E51" s="26"/>
      <c r="F51" s="24">
        <f>IF(E51="Yes",C51,IF(E51="Half",C51/2,0))</f>
        <v>0</v>
      </c>
      <c r="G51" s="18"/>
      <c r="H51" s="22">
        <f>IF(E51="Yes",0,IF(E51="Half",C51/2,C51)+(1000-ROW())/100000)</f>
        <v>2.00949</v>
      </c>
    </row>
    <row r="52" spans="1:8" ht="43.2" x14ac:dyDescent="0.3">
      <c r="A52" s="23" t="s">
        <v>102</v>
      </c>
      <c r="B52" s="12" t="s">
        <v>103</v>
      </c>
      <c r="C52" s="24">
        <v>3</v>
      </c>
      <c r="D52" s="25"/>
      <c r="E52" s="26"/>
      <c r="F52" s="24">
        <f>IF(E52="Yes",C52,IF(E52="Half",C52/2,0))</f>
        <v>0</v>
      </c>
      <c r="G52" s="18"/>
      <c r="H52" s="22">
        <f>IF(E52="Yes",0,IF(E52="Half",C52/2,C52)+(1000-ROW())/100000)</f>
        <v>3.0094799999999999</v>
      </c>
    </row>
    <row r="53" spans="1:8" ht="57.6" x14ac:dyDescent="0.3">
      <c r="A53" s="23" t="s">
        <v>104</v>
      </c>
      <c r="B53" s="12" t="s">
        <v>105</v>
      </c>
      <c r="C53" s="24">
        <v>2</v>
      </c>
      <c r="D53" s="25" t="s">
        <v>13</v>
      </c>
      <c r="E53" s="26"/>
      <c r="F53" s="24">
        <f>IF(E53="Yes",C53,IF(E53="Half",C53/2,0))</f>
        <v>0</v>
      </c>
      <c r="G53" s="18"/>
      <c r="H53" s="22">
        <f>IF(E53="Yes",0,IF(E53="Half",C53/2,C53)+(1000-ROW())/100000)</f>
        <v>2.0094699999999999</v>
      </c>
    </row>
    <row r="55" spans="1:8" x14ac:dyDescent="0.3">
      <c r="A55" s="19" t="s">
        <v>106</v>
      </c>
      <c r="B55" s="19"/>
      <c r="C55" s="7" t="str">
        <f>IF(OR(E4="",E5="",E6=""),"Fill length, same-day and audible",IF(AND(E4&gt;=10,E4&lt;=20,E5="Yes",E6="Yes"),"YES","NO — not accepted"))</f>
        <v>Fill length, same-day and audible</v>
      </c>
      <c r="D55" s="7"/>
      <c r="E55" s="7"/>
      <c r="F55" s="7"/>
      <c r="G55" s="7"/>
    </row>
    <row r="56" spans="1:8" x14ac:dyDescent="0.3">
      <c r="A56" s="19" t="s">
        <v>107</v>
      </c>
      <c r="B56" s="19"/>
      <c r="C56" s="7">
        <v>100</v>
      </c>
      <c r="D56" s="7"/>
      <c r="E56" s="7"/>
      <c r="F56" s="7"/>
      <c r="G56" s="7"/>
    </row>
    <row r="57" spans="1:8" x14ac:dyDescent="0.3">
      <c r="A57" s="19" t="s">
        <v>108</v>
      </c>
      <c r="B57" s="19"/>
      <c r="C57" s="7">
        <f>SUM(F11:F53)</f>
        <v>0</v>
      </c>
      <c r="D57" s="7"/>
      <c r="E57" s="7"/>
      <c r="F57" s="7"/>
      <c r="G57" s="7"/>
    </row>
    <row r="58" spans="1:8" ht="18" x14ac:dyDescent="0.3">
      <c r="A58" s="19" t="s">
        <v>109</v>
      </c>
      <c r="B58" s="19"/>
      <c r="C58" s="6">
        <f>ROUND(C57/C56*100,0)</f>
        <v>0</v>
      </c>
      <c r="D58" s="6"/>
      <c r="E58" s="6"/>
      <c r="F58" s="6"/>
      <c r="G58" s="6"/>
    </row>
    <row r="59" spans="1:8" x14ac:dyDescent="0.3">
      <c r="A59" s="19" t="s">
        <v>110</v>
      </c>
      <c r="B59" s="19"/>
      <c r="C59" s="7">
        <f>IF(E11&lt;&gt;"Yes",1,0)+IF(E12&lt;&gt;"Yes",1,0)+IF(E16&lt;&gt;"Yes",1,0)+IF(E17&lt;&gt;"Yes",1,0)+IF(E19&lt;&gt;"Yes",1,0)+IF(E22&lt;&gt;"Yes",1,0)+IF(E23&lt;&gt;"Yes",1,0)+IF(E27&lt;&gt;"Yes",1,0)+IF(E33&lt;&gt;"Yes",1,0)+IF(E39&lt;&gt;"Yes",1,0)+IF(E44&lt;&gt;"Yes",1,0)+IF(E53&lt;&gt;"Yes",1,0)</f>
        <v>12</v>
      </c>
      <c r="D59" s="7"/>
      <c r="E59" s="7"/>
      <c r="F59" s="7"/>
      <c r="G59" s="7"/>
    </row>
    <row r="60" spans="1:8" x14ac:dyDescent="0.3">
      <c r="A60" s="19" t="s">
        <v>111</v>
      </c>
      <c r="B60" s="19"/>
      <c r="C60" s="7" t="str">
        <f>IF(C59=0,"None",_xlfn.TEXTJOIN(", ",TRUE(),IF(E11&lt;&gt;"Yes",A11,""),IF(E12&lt;&gt;"Yes",A12,""),IF(E16&lt;&gt;"Yes",A16,""),IF(E17&lt;&gt;"Yes",A17,""),IF(E19&lt;&gt;"Yes",A19,""),IF(E22&lt;&gt;"Yes",A22,""),IF(E23&lt;&gt;"Yes",A23,""),IF(E27&lt;&gt;"Yes",A27,""),IF(E33&lt;&gt;"Yes",A33,""),IF(E39&lt;&gt;"Yes",A39,""),IF(E44&lt;&gt;"Yes",A44,""),IF(E53&lt;&gt;"Yes",A53,"")))</f>
        <v>A1, A2, B1, B2, B4, C1, C2, D2, E1, F2, G3, I4</v>
      </c>
      <c r="D60" s="7"/>
      <c r="E60" s="7"/>
      <c r="F60" s="7"/>
      <c r="G60" s="7"/>
    </row>
    <row r="61" spans="1:8" ht="33.6" customHeight="1" x14ac:dyDescent="0.3">
      <c r="A61" s="19" t="s">
        <v>112</v>
      </c>
      <c r="B61" s="19"/>
      <c r="C61" s="5" t="str">
        <f>IF(C55&lt;&gt;"YES","NOT ACCEPTED — recording under 10 min / over 20 min / not uploaded same day / not audible. Call again.",IF(C59&gt;0,"NOT ACCEPTED — MUST item(s) missed: "&amp;C60&amp;". Call the customer again for the missed points.",IF(C58&gt;=90,"EXCELLENT — accepted. Score "&amp;C58&amp;"/100.",IF(C58&gt;=75,"ACCEPTED — Score "&amp;C58&amp;"/100. See My Result for what to do better.","NOT ACCEPTED — Score "&amp;C58&amp;"/100 is below 75. Call the customer again for the missed points."))))</f>
        <v>NOT ACCEPTED — recording under 10 min / over 20 min / not uploaded same day / not audible. Call again.</v>
      </c>
      <c r="D61" s="5"/>
      <c r="E61" s="5"/>
      <c r="F61" s="5"/>
      <c r="G61" s="5"/>
    </row>
  </sheetData>
  <mergeCells count="33">
    <mergeCell ref="A59:B59"/>
    <mergeCell ref="C59:G59"/>
    <mergeCell ref="A60:B60"/>
    <mergeCell ref="C60:G60"/>
    <mergeCell ref="A61:B61"/>
    <mergeCell ref="C61:G61"/>
    <mergeCell ref="A56:B56"/>
    <mergeCell ref="C56:G56"/>
    <mergeCell ref="A57:B57"/>
    <mergeCell ref="C57:G57"/>
    <mergeCell ref="A58:B58"/>
    <mergeCell ref="C58:G58"/>
    <mergeCell ref="A41:B41"/>
    <mergeCell ref="A45:B45"/>
    <mergeCell ref="A49:B49"/>
    <mergeCell ref="A55:B55"/>
    <mergeCell ref="C55:G55"/>
    <mergeCell ref="A15:B15"/>
    <mergeCell ref="A21:B21"/>
    <mergeCell ref="A25:B25"/>
    <mergeCell ref="A32:B32"/>
    <mergeCell ref="A37:B37"/>
    <mergeCell ref="C6:D6"/>
    <mergeCell ref="E6:G6"/>
    <mergeCell ref="C7:D7"/>
    <mergeCell ref="E7:G7"/>
    <mergeCell ref="A10:B10"/>
    <mergeCell ref="A1:G1"/>
    <mergeCell ref="A2:G2"/>
    <mergeCell ref="C4:D4"/>
    <mergeCell ref="E4:G4"/>
    <mergeCell ref="C5:D5"/>
    <mergeCell ref="E5:G5"/>
  </mergeCells>
  <conditionalFormatting sqref="C61">
    <cfRule type="expression" dxfId="11" priority="2">
      <formula>LEFT(C61,3)="NOT"</formula>
    </cfRule>
    <cfRule type="expression" dxfId="10" priority="3">
      <formula>LEFT(C61,3)&lt;&gt;"NOT"</formula>
    </cfRule>
  </conditionalFormatting>
  <conditionalFormatting sqref="E11:E53">
    <cfRule type="cellIs" dxfId="9" priority="4" operator="equal">
      <formula>"No"</formula>
    </cfRule>
    <cfRule type="cellIs" dxfId="8" priority="5" operator="equal">
      <formula>"Half"</formula>
    </cfRule>
    <cfRule type="cellIs" dxfId="7" priority="6" operator="equal">
      <formula>"Yes"</formula>
    </cfRule>
  </conditionalFormatting>
  <dataValidations count="2">
    <dataValidation type="list" allowBlank="1" sqref="E5:E6" xr:uid="{00000000-0002-0000-0000-000000000000}">
      <formula1>"Yes,No"</formula1>
      <formula2>0</formula2>
    </dataValidation>
    <dataValidation type="list" allowBlank="1" sqref="E11:E14 E16:E20 E22:E24 E26:E31 E33:E36 E38:E40 E42:E44 E46:E48 E50:E53" xr:uid="{00000000-0002-0000-0000-000001000000}">
      <formula1>"Yes,Half,No"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496"/>
    <pageSetUpPr fitToPage="1"/>
  </sheetPr>
  <dimension ref="A1:F76"/>
  <sheetViews>
    <sheetView tabSelected="1" zoomScaleNormal="100" workbookViewId="0">
      <selection activeCell="A6" sqref="A6:B6"/>
    </sheetView>
  </sheetViews>
  <sheetFormatPr defaultColWidth="8.6640625" defaultRowHeight="14.4" x14ac:dyDescent="0.3"/>
  <cols>
    <col min="1" max="1" width="7" style="15" customWidth="1"/>
    <col min="2" max="2" width="70" style="15" customWidth="1"/>
    <col min="3" max="4" width="9" style="15" customWidth="1"/>
    <col min="5" max="5" width="12" style="15" customWidth="1"/>
    <col min="6" max="6" width="53.44140625" style="15" customWidth="1"/>
    <col min="7" max="16384" width="8.6640625" style="15"/>
  </cols>
  <sheetData>
    <row r="1" spans="1:6" ht="25.5" customHeight="1" x14ac:dyDescent="0.3">
      <c r="A1" s="27" t="s">
        <v>113</v>
      </c>
      <c r="B1" s="27"/>
      <c r="C1" s="27"/>
      <c r="D1" s="27"/>
      <c r="E1" s="27"/>
      <c r="F1" s="27"/>
    </row>
    <row r="2" spans="1:6" ht="24" customHeight="1" x14ac:dyDescent="0.3">
      <c r="A2" s="28" t="s">
        <v>114</v>
      </c>
      <c r="B2" s="28"/>
      <c r="C2" s="28"/>
      <c r="D2" s="28"/>
      <c r="E2" s="28"/>
      <c r="F2" s="28"/>
    </row>
    <row r="4" spans="1:6" ht="15" customHeight="1" x14ac:dyDescent="0.3">
      <c r="A4" s="19" t="s">
        <v>115</v>
      </c>
      <c r="B4" s="19"/>
      <c r="C4" s="4">
        <f>Scorecard!B6</f>
        <v>0</v>
      </c>
      <c r="D4" s="4"/>
      <c r="E4" s="4"/>
      <c r="F4" s="4"/>
    </row>
    <row r="5" spans="1:6" ht="15" customHeight="1" x14ac:dyDescent="0.3">
      <c r="A5" s="19" t="s">
        <v>116</v>
      </c>
      <c r="B5" s="19"/>
      <c r="C5" s="4">
        <f>Scorecard!B5</f>
        <v>0</v>
      </c>
      <c r="D5" s="4"/>
      <c r="E5" s="4"/>
      <c r="F5" s="4"/>
    </row>
    <row r="6" spans="1:6" ht="15" customHeight="1" x14ac:dyDescent="0.3">
      <c r="A6" s="19" t="s">
        <v>2</v>
      </c>
      <c r="B6" s="19"/>
      <c r="C6" s="4">
        <f>Scorecard!B4</f>
        <v>0</v>
      </c>
      <c r="D6" s="4"/>
      <c r="E6" s="4"/>
      <c r="F6" s="4"/>
    </row>
    <row r="7" spans="1:6" ht="15" customHeight="1" x14ac:dyDescent="0.3">
      <c r="A7" s="19" t="s">
        <v>117</v>
      </c>
      <c r="B7" s="19"/>
      <c r="C7" s="4">
        <f>Scorecard!B7</f>
        <v>0</v>
      </c>
      <c r="D7" s="4"/>
      <c r="E7" s="4"/>
      <c r="F7" s="4"/>
    </row>
    <row r="8" spans="1:6" ht="15" customHeight="1" x14ac:dyDescent="0.3">
      <c r="A8" s="19" t="s">
        <v>118</v>
      </c>
      <c r="B8" s="19"/>
      <c r="C8" s="3">
        <f>Scorecard!E4</f>
        <v>0</v>
      </c>
      <c r="D8" s="3"/>
      <c r="E8" s="3"/>
      <c r="F8" s="3"/>
    </row>
    <row r="10" spans="1:6" ht="33.75" customHeight="1" x14ac:dyDescent="0.3">
      <c r="A10" s="2" t="s">
        <v>119</v>
      </c>
      <c r="B10" s="2"/>
      <c r="C10" s="1" t="str">
        <f>Scorecard!C58&amp;" / 100"</f>
        <v>0 / 100</v>
      </c>
      <c r="D10" s="1"/>
      <c r="E10" s="1"/>
      <c r="F10" s="1"/>
    </row>
    <row r="11" spans="1:6" ht="39.75" customHeight="1" x14ac:dyDescent="0.3">
      <c r="A11" s="2" t="s">
        <v>112</v>
      </c>
      <c r="B11" s="2"/>
      <c r="C11" s="7" t="str">
        <f>Scorecard!C61</f>
        <v>NOT ACCEPTED — recording under 10 min / over 20 min / not uploaded same day / not audible. Call again.</v>
      </c>
      <c r="D11" s="7"/>
      <c r="E11" s="7"/>
      <c r="F11" s="7"/>
    </row>
    <row r="12" spans="1:6" ht="15" customHeight="1" x14ac:dyDescent="0.3">
      <c r="A12" s="16" t="s">
        <v>120</v>
      </c>
      <c r="B12" s="16"/>
      <c r="C12" s="16"/>
      <c r="D12" s="16"/>
      <c r="E12" s="16"/>
      <c r="F12" s="16"/>
    </row>
    <row r="14" spans="1:6" x14ac:dyDescent="0.3">
      <c r="A14" s="9"/>
      <c r="B14" s="9" t="s">
        <v>121</v>
      </c>
      <c r="C14" s="9" t="s">
        <v>12</v>
      </c>
      <c r="D14" s="9" t="s">
        <v>122</v>
      </c>
      <c r="E14" s="9" t="s">
        <v>123</v>
      </c>
      <c r="F14" s="9" t="s">
        <v>124</v>
      </c>
    </row>
    <row r="15" spans="1:6" x14ac:dyDescent="0.3">
      <c r="A15" s="23" t="s">
        <v>125</v>
      </c>
      <c r="B15" s="12" t="s">
        <v>126</v>
      </c>
      <c r="C15" s="24">
        <v>8</v>
      </c>
      <c r="D15" s="24">
        <f>SUM(Scorecard!F11:F14)</f>
        <v>0</v>
      </c>
      <c r="E15" s="24" t="str">
        <f t="shared" ref="E15:E23" si="0">ROUND(D15/C15*100,0)&amp;"%"</f>
        <v>0%</v>
      </c>
      <c r="F15" s="12" t="str">
        <f t="shared" ref="F15:F23" si="1">IF(D15=C15,"Fully covered",IF(D15&gt;=C15*0.75,"Good — small gaps",IF(D15&gt;=C15*0.5,"Weak — see items below","Mostly missed — see items below")))</f>
        <v>Mostly missed — see items below</v>
      </c>
    </row>
    <row r="16" spans="1:6" x14ac:dyDescent="0.3">
      <c r="A16" s="23" t="s">
        <v>127</v>
      </c>
      <c r="B16" s="12" t="s">
        <v>128</v>
      </c>
      <c r="C16" s="24">
        <v>14</v>
      </c>
      <c r="D16" s="24">
        <f>SUM(Scorecard!F16:F20)</f>
        <v>0</v>
      </c>
      <c r="E16" s="24" t="str">
        <f t="shared" si="0"/>
        <v>0%</v>
      </c>
      <c r="F16" s="12" t="str">
        <f t="shared" si="1"/>
        <v>Mostly missed — see items below</v>
      </c>
    </row>
    <row r="17" spans="1:6" x14ac:dyDescent="0.3">
      <c r="A17" s="23" t="s">
        <v>129</v>
      </c>
      <c r="B17" s="12" t="s">
        <v>130</v>
      </c>
      <c r="C17" s="24">
        <v>10</v>
      </c>
      <c r="D17" s="24">
        <f>SUM(Scorecard!F22:F24)</f>
        <v>0</v>
      </c>
      <c r="E17" s="24" t="str">
        <f t="shared" si="0"/>
        <v>0%</v>
      </c>
      <c r="F17" s="12" t="str">
        <f t="shared" si="1"/>
        <v>Mostly missed — see items below</v>
      </c>
    </row>
    <row r="18" spans="1:6" x14ac:dyDescent="0.3">
      <c r="A18" s="23" t="s">
        <v>131</v>
      </c>
      <c r="B18" s="12" t="s">
        <v>132</v>
      </c>
      <c r="C18" s="24">
        <v>22</v>
      </c>
      <c r="D18" s="24">
        <f>SUM(Scorecard!F26:F31)</f>
        <v>0</v>
      </c>
      <c r="E18" s="24" t="str">
        <f t="shared" si="0"/>
        <v>0%</v>
      </c>
      <c r="F18" s="12" t="str">
        <f t="shared" si="1"/>
        <v>Mostly missed — see items below</v>
      </c>
    </row>
    <row r="19" spans="1:6" x14ac:dyDescent="0.3">
      <c r="A19" s="23" t="s">
        <v>133</v>
      </c>
      <c r="B19" s="12" t="s">
        <v>134</v>
      </c>
      <c r="C19" s="24">
        <v>12</v>
      </c>
      <c r="D19" s="24">
        <f>SUM(Scorecard!F33:F36)</f>
        <v>0</v>
      </c>
      <c r="E19" s="24" t="str">
        <f t="shared" si="0"/>
        <v>0%</v>
      </c>
      <c r="F19" s="12" t="str">
        <f t="shared" si="1"/>
        <v>Mostly missed — see items below</v>
      </c>
    </row>
    <row r="20" spans="1:6" x14ac:dyDescent="0.3">
      <c r="A20" s="23" t="s">
        <v>135</v>
      </c>
      <c r="B20" s="12" t="s">
        <v>136</v>
      </c>
      <c r="C20" s="24">
        <v>8</v>
      </c>
      <c r="D20" s="24">
        <f>SUM(Scorecard!F38:F40)</f>
        <v>0</v>
      </c>
      <c r="E20" s="24" t="str">
        <f t="shared" si="0"/>
        <v>0%</v>
      </c>
      <c r="F20" s="12" t="str">
        <f t="shared" si="1"/>
        <v>Mostly missed — see items below</v>
      </c>
    </row>
    <row r="21" spans="1:6" x14ac:dyDescent="0.3">
      <c r="A21" s="23" t="s">
        <v>137</v>
      </c>
      <c r="B21" s="12" t="s">
        <v>138</v>
      </c>
      <c r="C21" s="24">
        <v>8</v>
      </c>
      <c r="D21" s="24">
        <f>SUM(Scorecard!F42:F44)</f>
        <v>0</v>
      </c>
      <c r="E21" s="24" t="str">
        <f t="shared" si="0"/>
        <v>0%</v>
      </c>
      <c r="F21" s="12" t="str">
        <f t="shared" si="1"/>
        <v>Mostly missed — see items below</v>
      </c>
    </row>
    <row r="22" spans="1:6" x14ac:dyDescent="0.3">
      <c r="A22" s="23" t="s">
        <v>139</v>
      </c>
      <c r="B22" s="12" t="s">
        <v>140</v>
      </c>
      <c r="C22" s="24">
        <v>8</v>
      </c>
      <c r="D22" s="24">
        <f>SUM(Scorecard!F46:F48)</f>
        <v>0</v>
      </c>
      <c r="E22" s="24" t="str">
        <f t="shared" si="0"/>
        <v>0%</v>
      </c>
      <c r="F22" s="12" t="str">
        <f t="shared" si="1"/>
        <v>Mostly missed — see items below</v>
      </c>
    </row>
    <row r="23" spans="1:6" x14ac:dyDescent="0.3">
      <c r="A23" s="23" t="s">
        <v>141</v>
      </c>
      <c r="B23" s="12" t="s">
        <v>142</v>
      </c>
      <c r="C23" s="24">
        <v>10</v>
      </c>
      <c r="D23" s="24">
        <f>SUM(Scorecard!F50:F53)</f>
        <v>0</v>
      </c>
      <c r="E23" s="24" t="str">
        <f t="shared" si="0"/>
        <v>0%</v>
      </c>
      <c r="F23" s="12" t="str">
        <f t="shared" si="1"/>
        <v>Mostly missed — see items below</v>
      </c>
    </row>
    <row r="25" spans="1:6" ht="19.5" customHeight="1" x14ac:dyDescent="0.3">
      <c r="A25" s="13" t="s">
        <v>143</v>
      </c>
      <c r="B25" s="13"/>
      <c r="C25" s="13"/>
      <c r="D25" s="13"/>
      <c r="E25" s="13"/>
      <c r="F25" s="13"/>
    </row>
    <row r="26" spans="1:6" ht="43.5" customHeight="1" x14ac:dyDescent="0.3">
      <c r="A26" s="23">
        <v>1</v>
      </c>
      <c r="B26" s="4" t="str">
        <f>IF(LARGE(Scorecard!$H$11:$H$53,1)&lt;0.5,"—",INDEX(Scorecard!$A$11:$A$53,MATCH(LARGE(Scorecard!$H$11:$H$53,1),Scorecard!$H$11:$H$53,0))&amp;" — "&amp;INDEX(Scorecard!$B$11:$B$53,MATCH(LARGE(Scorecard!$H$11:$H$53,1),Scorecard!$H$11:$H$53,0)))</f>
        <v>D2 — INCOME GRILLED per business: daily / monthly sales, profit margin %, lean season — customer's figures first. Ask for PROOF (bills, parchi, register, bank / AA credits). Within 20% of the CAM assessed income? Bigger gap = RF-4 (CAM back to BCM).</v>
      </c>
      <c r="C26" s="4"/>
      <c r="D26" s="4"/>
      <c r="E26" s="4"/>
      <c r="F26" s="11" t="str">
        <f>IF(LARGE(Scorecard!$H$11:$H$53,1)&lt;0.5,"","Points lost: "&amp;ROUND(LARGE(Scorecard!$H$11:$H$53,1),1))</f>
        <v>Points lost: 6</v>
      </c>
    </row>
    <row r="27" spans="1:6" ht="43.5" customHeight="1" x14ac:dyDescent="0.3">
      <c r="A27" s="23">
        <v>2</v>
      </c>
      <c r="B27" s="4" t="str">
        <f>IF(LARGE(Scorecard!$H$11:$H$53,2)&lt;0.5,"—",INDEX(Scorecard!$A$11:$A$53,MATCH(LARGE(Scorecard!$H$11:$H$53,2),Scorecard!$H$11:$H$53,0))&amp;" — "&amp;INDEX(Scorecard!$B$11:$B$53,MATCH(LARGE(Scorecard!$H$11:$H$53,2),Scorecard!$H$11:$H$53,0)))</f>
        <v>E1 — LOANS LISTED BY THE CUSTOMER — company, EMI, since when — and reconciled by you against EVERY active loan in the bureau and the CAM obligation table. Any loan not in the CAM = RF-5 (re-run FOIR).</v>
      </c>
      <c r="C27" s="4"/>
      <c r="D27" s="4"/>
      <c r="E27" s="4"/>
      <c r="F27" s="11" t="str">
        <f>IF(LARGE(Scorecard!$H$11:$H$53,2)&lt;0.5,"","Points lost: "&amp;ROUND(LARGE(Scorecard!$H$11:$H$53,2),1))</f>
        <v>Points lost: 5</v>
      </c>
    </row>
    <row r="28" spans="1:6" ht="43.5" customHeight="1" x14ac:dyDescent="0.3">
      <c r="A28" s="23">
        <v>3</v>
      </c>
      <c r="B28" s="4" t="str">
        <f>IF(LARGE(Scorecard!$H$11:$H$53,3)&lt;0.5,"—",INDEX(Scorecard!$A$11:$A$53,MATCH(LARGE(Scorecard!$H$11:$H$53,3),Scorecard!$H$11:$H$53,0))&amp;" — "&amp;INDEX(Scorecard!$B$11:$B$53,MATCH(LARGE(Scorecard!$H$11:$H$53,3),Scorecard!$H$11:$H$53,0)))</f>
        <v>B2 — BCM VISIT VERIFIED: "Prodigee se kaun aaye the?" — who came, did he see the business (EVERY income activity) AND the home? Visit not done or incomplete = file returned for physical PD again (RF-12).</v>
      </c>
      <c r="C28" s="4"/>
      <c r="D28" s="4"/>
      <c r="E28" s="4"/>
      <c r="F28" s="11" t="str">
        <f>IF(LARGE(Scorecard!$H$11:$H$53,3)&lt;0.5,"","Points lost: "&amp;ROUND(LARGE(Scorecard!$H$11:$H$53,3),1))</f>
        <v>Points lost: 4</v>
      </c>
    </row>
    <row r="30" spans="1:6" x14ac:dyDescent="0.3">
      <c r="A30" s="9" t="s">
        <v>10</v>
      </c>
      <c r="B30" s="9" t="s">
        <v>144</v>
      </c>
      <c r="C30" s="9" t="s">
        <v>12</v>
      </c>
      <c r="D30" s="9" t="s">
        <v>122</v>
      </c>
      <c r="E30" s="9" t="s">
        <v>145</v>
      </c>
      <c r="F30" s="9" t="s">
        <v>146</v>
      </c>
    </row>
    <row r="31" spans="1:6" ht="15" customHeight="1" x14ac:dyDescent="0.3">
      <c r="A31" s="8" t="s">
        <v>18</v>
      </c>
      <c r="B31" s="8"/>
      <c r="C31" s="8"/>
      <c r="D31" s="8"/>
      <c r="E31" s="8"/>
      <c r="F31" s="8"/>
    </row>
    <row r="32" spans="1:6" ht="48" customHeight="1" x14ac:dyDescent="0.3">
      <c r="A32" s="25" t="s">
        <v>147</v>
      </c>
      <c r="B32" s="12" t="str">
        <f>Scorecard!B11</f>
        <v>Say at the start: "Yeh call record ho rahi hai, loan verification ke liye." State Application ID, customer name and village/town.</v>
      </c>
      <c r="C32" s="24">
        <f>Scorecard!C11</f>
        <v>2</v>
      </c>
      <c r="D32" s="24">
        <f>Scorecard!F11</f>
        <v>0</v>
      </c>
      <c r="E32" s="23" t="str">
        <f>IF(Scorecard!E11="Yes","✔ Asked",IF(Scorecard!E11="Half","½ Half",IF(Scorecard!E11="No","✘ MISSED","?")))</f>
        <v>?</v>
      </c>
      <c r="F32" s="12" t="str">
        <f>IF(Scorecard!G11="","",Scorecard!G11)</f>
        <v/>
      </c>
    </row>
    <row r="33" spans="1:6" ht="48" customHeight="1" x14ac:dyDescent="0.3">
      <c r="A33" s="25" t="s">
        <v>148</v>
      </c>
      <c r="B33" s="12" t="str">
        <f>Scorecard!B12</f>
        <v>Confirm you are talking to the MAIN BORROWER himself / herself — full name, on the applicant's own mobile number. Not a relative, agent or anyone else.</v>
      </c>
      <c r="C33" s="24">
        <f>Scorecard!C12</f>
        <v>2</v>
      </c>
      <c r="D33" s="24">
        <f>Scorecard!F12</f>
        <v>0</v>
      </c>
      <c r="E33" s="23" t="str">
        <f>IF(Scorecard!E12="Yes","✔ Asked",IF(Scorecard!E12="Half","½ Half",IF(Scorecard!E12="No","✘ MISSED","?")))</f>
        <v>?</v>
      </c>
      <c r="F33" s="12" t="str">
        <f>IF(Scorecard!G12="","",Scorecard!G12)</f>
        <v/>
      </c>
    </row>
    <row r="34" spans="1:6" ht="48" customHeight="1" x14ac:dyDescent="0.3">
      <c r="A34" s="23" t="s">
        <v>24</v>
      </c>
      <c r="B34" s="12" t="str">
        <f>Scorecard!B13</f>
        <v>Customer confirms a loan file has been logged with Prodigee Finance — without you telling him the details first.</v>
      </c>
      <c r="C34" s="24">
        <f>Scorecard!C13</f>
        <v>2</v>
      </c>
      <c r="D34" s="24">
        <f>Scorecard!F13</f>
        <v>0</v>
      </c>
      <c r="E34" s="23" t="str">
        <f>IF(Scorecard!E13="Yes","✔ Asked",IF(Scorecard!E13="Half","½ Half",IF(Scorecard!E13="No","✘ MISSED","?")))</f>
        <v>?</v>
      </c>
      <c r="F34" s="12" t="str">
        <f>IF(Scorecard!G13="","",Scorecard!G13)</f>
        <v/>
      </c>
    </row>
    <row r="35" spans="1:6" ht="63.75" customHeight="1" x14ac:dyDescent="0.3">
      <c r="A35" s="23" t="s">
        <v>26</v>
      </c>
      <c r="B35" s="12" t="str">
        <f>Scorecard!B14</f>
        <v>Identify the co-borrower(s) by name — speak to them on this call, or say on record that a separate call will be made. Speak the customer's language; ask open questions — he speaks first, you verify.</v>
      </c>
      <c r="C35" s="24">
        <f>Scorecard!C14</f>
        <v>2</v>
      </c>
      <c r="D35" s="24">
        <f>Scorecard!F14</f>
        <v>0</v>
      </c>
      <c r="E35" s="23" t="str">
        <f>IF(Scorecard!E14="Yes","✔ Asked",IF(Scorecard!E14="Half","½ Half",IF(Scorecard!E14="No","✘ MISSED","?")))</f>
        <v>?</v>
      </c>
      <c r="F35" s="12" t="str">
        <f>IF(Scorecard!G14="","",Scorecard!G14)</f>
        <v/>
      </c>
    </row>
    <row r="36" spans="1:6" ht="15" customHeight="1" x14ac:dyDescent="0.3">
      <c r="A36" s="8" t="s">
        <v>28</v>
      </c>
      <c r="B36" s="8"/>
      <c r="C36" s="8"/>
      <c r="D36" s="8"/>
      <c r="E36" s="8"/>
      <c r="F36" s="8"/>
    </row>
    <row r="37" spans="1:6" ht="48" customHeight="1" x14ac:dyDescent="0.3">
      <c r="A37" s="25" t="s">
        <v>149</v>
      </c>
      <c r="B37" s="12" t="str">
        <f>Scorecard!B16</f>
        <v>LOAN AMOUNT: the customer states it himself (do NOT lead with the figure). Must be within 10% of the CAM amount — a bigger gap is a red flag (RF-2).</v>
      </c>
      <c r="C37" s="24">
        <f>Scorecard!C16</f>
        <v>3</v>
      </c>
      <c r="D37" s="24">
        <f>Scorecard!F16</f>
        <v>0</v>
      </c>
      <c r="E37" s="23" t="str">
        <f>IF(Scorecard!E16="Yes","✔ Asked",IF(Scorecard!E16="Half","½ Half",IF(Scorecard!E16="No","✘ MISSED","?")))</f>
        <v>?</v>
      </c>
      <c r="F37" s="12" t="str">
        <f>IF(Scorecard!G16="","",Scorecard!G16)</f>
        <v/>
      </c>
    </row>
    <row r="38" spans="1:6" ht="63.75" customHeight="1" x14ac:dyDescent="0.3">
      <c r="A38" s="25" t="s">
        <v>150</v>
      </c>
      <c r="B38" s="12" t="str">
        <f>Scorecard!B17</f>
        <v>BCM VISIT VERIFIED: "Prodigee se kaun aaye the?" — who came, did he see the business (EVERY income activity) AND the home? Visit not done or incomplete = file returned for physical PD again (RF-12).</v>
      </c>
      <c r="C38" s="24">
        <f>Scorecard!C17</f>
        <v>4</v>
      </c>
      <c r="D38" s="24">
        <f>Scorecard!F17</f>
        <v>0</v>
      </c>
      <c r="E38" s="23" t="str">
        <f>IF(Scorecard!E17="Yes","✔ Asked",IF(Scorecard!E17="Half","½ Half",IF(Scorecard!E17="No","✘ MISSED","?")))</f>
        <v>?</v>
      </c>
      <c r="F38" s="12" t="str">
        <f>IF(Scorecard!G17="","",Scorecard!G17)</f>
        <v/>
      </c>
    </row>
    <row r="39" spans="1:6" ht="63.75" customHeight="1" x14ac:dyDescent="0.3">
      <c r="A39" s="23" t="s">
        <v>34</v>
      </c>
      <c r="B39" s="12" t="str">
        <f>Scorecard!B18</f>
        <v>Ask: did anyone — Prodigee staff, agent or anyone else — ask for commission, fees or money for this loan? Tell him: ZERO COMMISSION — only official charges, in writing.</v>
      </c>
      <c r="C39" s="24">
        <f>Scorecard!C18</f>
        <v>2</v>
      </c>
      <c r="D39" s="24">
        <f>Scorecard!F18</f>
        <v>0</v>
      </c>
      <c r="E39" s="23" t="str">
        <f>IF(Scorecard!E18="Yes","✔ Asked",IF(Scorecard!E18="Half","½ Half",IF(Scorecard!E18="No","✘ MISSED","?")))</f>
        <v>?</v>
      </c>
      <c r="F39" s="12" t="str">
        <f>IF(Scorecard!G18="","",Scorecard!G18)</f>
        <v/>
      </c>
    </row>
    <row r="40" spans="1:6" ht="48" customHeight="1" x14ac:dyDescent="0.3">
      <c r="A40" s="25" t="s">
        <v>151</v>
      </c>
      <c r="B40" s="12" t="str">
        <f>Scorecard!B19</f>
        <v>Customer clearly understands: BUSINESS Loan Against Property — property will be MORTGAGED and the ORIGINAL papers deposited with Prodigee.</v>
      </c>
      <c r="C40" s="24">
        <f>Scorecard!C19</f>
        <v>3</v>
      </c>
      <c r="D40" s="24">
        <f>Scorecard!F19</f>
        <v>0</v>
      </c>
      <c r="E40" s="23" t="str">
        <f>IF(Scorecard!E19="Yes","✔ Asked",IF(Scorecard!E19="Half","½ Half",IF(Scorecard!E19="No","✘ MISSED","?")))</f>
        <v>?</v>
      </c>
      <c r="F40" s="12" t="str">
        <f>IF(Scorecard!G19="","",Scorecard!G19)</f>
        <v/>
      </c>
    </row>
    <row r="41" spans="1:6" ht="48" customHeight="1" x14ac:dyDescent="0.3">
      <c r="A41" s="23" t="s">
        <v>38</v>
      </c>
      <c r="B41" s="12" t="str">
        <f>Scorecard!B20</f>
        <v>PENDING DOCUMENTS: name each document still pending on PRAGATI and ask him to submit it. If nothing is pending, say so.</v>
      </c>
      <c r="C41" s="24">
        <f>Scorecard!C20</f>
        <v>2</v>
      </c>
      <c r="D41" s="24">
        <f>Scorecard!F20</f>
        <v>0</v>
      </c>
      <c r="E41" s="23" t="str">
        <f>IF(Scorecard!E20="Yes","✔ Asked",IF(Scorecard!E20="Half","½ Half",IF(Scorecard!E20="No","✘ MISSED","?")))</f>
        <v>?</v>
      </c>
      <c r="F41" s="12" t="str">
        <f>IF(Scorecard!G20="","",Scorecard!G20)</f>
        <v/>
      </c>
    </row>
    <row r="42" spans="1:6" ht="15" customHeight="1" x14ac:dyDescent="0.3">
      <c r="A42" s="8" t="s">
        <v>40</v>
      </c>
      <c r="B42" s="8"/>
      <c r="C42" s="8"/>
      <c r="D42" s="8"/>
      <c r="E42" s="8"/>
      <c r="F42" s="8"/>
    </row>
    <row r="43" spans="1:6" ht="63.75" customHeight="1" x14ac:dyDescent="0.3">
      <c r="A43" s="25" t="s">
        <v>152</v>
      </c>
      <c r="B43" s="12" t="str">
        <f>Scorecard!B22</f>
        <v>END USE in the customer's own words — open question, do not read out the declared purpose. Probe: kitna, kahan, kab. Must match the End-Use Declaration / CAM (mismatch = RF-3).</v>
      </c>
      <c r="C43" s="24">
        <f>Scorecard!C22</f>
        <v>4</v>
      </c>
      <c r="D43" s="24">
        <f>Scorecard!F22</f>
        <v>0</v>
      </c>
      <c r="E43" s="23" t="str">
        <f>IF(Scorecard!E22="Yes","✔ Asked",IF(Scorecard!E22="Half","½ Half",IF(Scorecard!E22="No","✘ MISSED","?")))</f>
        <v>?</v>
      </c>
      <c r="F43" s="12" t="str">
        <f>IF(Scorecard!G22="","",Scorecard!G22)</f>
        <v/>
      </c>
    </row>
    <row r="44" spans="1:6" ht="48" customHeight="1" x14ac:dyDescent="0.3">
      <c r="A44" s="25" t="s">
        <v>153</v>
      </c>
      <c r="B44" s="12" t="str">
        <f>Scorecard!B23</f>
        <v>RESTRICTED USE ruled out: not speculation, not a new / unrelated business, not purchase of milch animals, nothing illegal.</v>
      </c>
      <c r="C44" s="24">
        <f>Scorecard!C23</f>
        <v>3</v>
      </c>
      <c r="D44" s="24">
        <f>Scorecard!F23</f>
        <v>0</v>
      </c>
      <c r="E44" s="23" t="str">
        <f>IF(Scorecard!E23="Yes","✔ Asked",IF(Scorecard!E23="Half","½ Half",IF(Scorecard!E23="No","✘ MISSED","?")))</f>
        <v>?</v>
      </c>
      <c r="F44" s="12" t="str">
        <f>IF(Scorecard!G23="","",Scorecard!G23)</f>
        <v/>
      </c>
    </row>
    <row r="45" spans="1:6" ht="48" customHeight="1" x14ac:dyDescent="0.3">
      <c r="A45" s="23" t="s">
        <v>46</v>
      </c>
      <c r="B45" s="12" t="str">
        <f>Scorecard!B24</f>
        <v>UTILISATION PLAN: how much goes where and by when — break-up for mixed use (e.g. stock + closing other loans).</v>
      </c>
      <c r="C45" s="24">
        <f>Scorecard!C24</f>
        <v>3</v>
      </c>
      <c r="D45" s="24">
        <f>Scorecard!F24</f>
        <v>0</v>
      </c>
      <c r="E45" s="23" t="str">
        <f>IF(Scorecard!E24="Yes","✔ Asked",IF(Scorecard!E24="Half","½ Half",IF(Scorecard!E24="No","✘ MISSED","?")))</f>
        <v>?</v>
      </c>
      <c r="F45" s="12" t="str">
        <f>IF(Scorecard!G24="","",Scorecard!G24)</f>
        <v/>
      </c>
    </row>
    <row r="46" spans="1:6" ht="15" customHeight="1" x14ac:dyDescent="0.3">
      <c r="A46" s="8" t="s">
        <v>48</v>
      </c>
      <c r="B46" s="8"/>
      <c r="C46" s="8"/>
      <c r="D46" s="8"/>
      <c r="E46" s="8"/>
      <c r="F46" s="8"/>
    </row>
    <row r="47" spans="1:6" ht="63.75" customHeight="1" x14ac:dyDescent="0.3">
      <c r="A47" s="23" t="s">
        <v>50</v>
      </c>
      <c r="B47" s="12" t="str">
        <f>Scorecard!B26</f>
        <v>EVERY BUSINESS / income stream the CAM counts: what, where, since when, who runs it; scale — staff, customers per day, stock, capacity. Consistent with the PD Report?</v>
      </c>
      <c r="C47" s="24">
        <f>Scorecard!C26</f>
        <v>3</v>
      </c>
      <c r="D47" s="24">
        <f>Scorecard!F26</f>
        <v>0</v>
      </c>
      <c r="E47" s="23" t="str">
        <f>IF(Scorecard!E26="Yes","✔ Asked",IF(Scorecard!E26="Half","½ Half",IF(Scorecard!E26="No","✘ MISSED","?")))</f>
        <v>?</v>
      </c>
      <c r="F47" s="12" t="str">
        <f>IF(Scorecard!G26="","",Scorecard!G26)</f>
        <v/>
      </c>
    </row>
    <row r="48" spans="1:6" ht="79.5" customHeight="1" x14ac:dyDescent="0.3">
      <c r="A48" s="25" t="s">
        <v>154</v>
      </c>
      <c r="B48" s="12" t="str">
        <f>Scorecard!B27</f>
        <v>INCOME GRILLED per business: daily / monthly sales, profit margin %, lean season — customer's figures first. Ask for PROOF (bills, parchi, register, bank / AA credits). Within 20% of the CAM assessed income? Bigger gap = RF-4 (CAM back to BCM).</v>
      </c>
      <c r="C48" s="24">
        <f>Scorecard!C27</f>
        <v>6</v>
      </c>
      <c r="D48" s="24">
        <f>Scorecard!F27</f>
        <v>0</v>
      </c>
      <c r="E48" s="23" t="str">
        <f>IF(Scorecard!E27="Yes","✔ Asked",IF(Scorecard!E27="Half","½ Half",IF(Scorecard!E27="No","✘ MISSED","?")))</f>
        <v>?</v>
      </c>
      <c r="F48" s="12" t="str">
        <f>IF(Scorecard!G27="","",Scorecard!G27)</f>
        <v/>
      </c>
    </row>
    <row r="49" spans="1:6" ht="48" customHeight="1" x14ac:dyDescent="0.3">
      <c r="A49" s="23" t="s">
        <v>54</v>
      </c>
      <c r="B49" s="12" t="str">
        <f>Scorecard!B28</f>
        <v>REFERENCES: 2–3 names and mobile numbers of people he deals with — supplier, buyer, thekedar, society — to corroborate the main income.</v>
      </c>
      <c r="C49" s="24">
        <f>Scorecard!C28</f>
        <v>2</v>
      </c>
      <c r="D49" s="24">
        <f>Scorecard!F28</f>
        <v>0</v>
      </c>
      <c r="E49" s="23" t="str">
        <f>IF(Scorecard!E28="Yes","✔ Asked",IF(Scorecard!E28="Half","½ Half",IF(Scorecard!E28="No","✘ MISSED","?")))</f>
        <v>?</v>
      </c>
      <c r="F49" s="12" t="str">
        <f>IF(Scorecard!G28="","",Scorecard!G28)</f>
        <v/>
      </c>
    </row>
    <row r="50" spans="1:6" ht="79.5" customHeight="1" x14ac:dyDescent="0.3">
      <c r="A50" s="23" t="s">
        <v>56</v>
      </c>
      <c r="B50" s="12" t="str">
        <f>Scorecard!B29</f>
        <v>AGRICULTURE in full: land in whose name, acres, crops each season, yearly income, KCC. THEN the missed-income question: dairy / milk? wife, father, brother, son — any business or job? rent? "Koi aur aamdani jo report mein nahi likhi?" No farm land — say so.</v>
      </c>
      <c r="C50" s="24">
        <f>Scorecard!C29</f>
        <v>4</v>
      </c>
      <c r="D50" s="24">
        <f>Scorecard!F29</f>
        <v>0</v>
      </c>
      <c r="E50" s="23" t="str">
        <f>IF(Scorecard!E29="Yes","✔ Asked",IF(Scorecard!E29="Half","½ Half",IF(Scorecard!E29="No","✘ MISSED","?")))</f>
        <v>?</v>
      </c>
      <c r="F50" s="12" t="str">
        <f>IF(Scorecard!G29="","",Scorecard!G29)</f>
        <v/>
      </c>
    </row>
    <row r="51" spans="1:6" ht="79.5" customHeight="1" x14ac:dyDescent="0.3">
      <c r="A51" s="23" t="s">
        <v>58</v>
      </c>
      <c r="B51" s="12" t="str">
        <f>Scorecard!B30</f>
        <v>AA CHECKS on the call: any EMI bounce? any big credit / debit that is not routine? UPI per month vs cash? Are ALL bank accounts in the AA — any account left out? If the main transacting account is missing, pull it on the call with the customer's OTP.</v>
      </c>
      <c r="C51" s="24">
        <f>Scorecard!C30</f>
        <v>4</v>
      </c>
      <c r="D51" s="24">
        <f>Scorecard!F30</f>
        <v>0</v>
      </c>
      <c r="E51" s="23" t="str">
        <f>IF(Scorecard!E30="Yes","✔ Asked",IF(Scorecard!E30="Half","½ Half",IF(Scorecard!E30="No","✘ MISSED","?")))</f>
        <v>?</v>
      </c>
      <c r="F51" s="12" t="str">
        <f>IF(Scorecard!G30="","",Scorecard!G30)</f>
        <v/>
      </c>
    </row>
    <row r="52" spans="1:6" ht="79.5" customHeight="1" x14ac:dyDescent="0.3">
      <c r="A52" s="23" t="s">
        <v>60</v>
      </c>
      <c r="B52" s="12" t="str">
        <f>Scorecard!B31</f>
        <v>YOUR VIEW ON THE BCM ASSESSMENT — say it on record: too conservative, too aggressive, or right? Any income the BCM missed — you assess it and add it to the CAM. Earning members named and consistent with the CAM family table.</v>
      </c>
      <c r="C52" s="24">
        <f>Scorecard!C31</f>
        <v>3</v>
      </c>
      <c r="D52" s="24">
        <f>Scorecard!F31</f>
        <v>0</v>
      </c>
      <c r="E52" s="23" t="str">
        <f>IF(Scorecard!E31="Yes","✔ Asked",IF(Scorecard!E31="Half","½ Half",IF(Scorecard!E31="No","✘ MISSED","?")))</f>
        <v>?</v>
      </c>
      <c r="F52" s="12" t="str">
        <f>IF(Scorecard!G31="","",Scorecard!G31)</f>
        <v/>
      </c>
    </row>
    <row r="53" spans="1:6" ht="15" customHeight="1" x14ac:dyDescent="0.3">
      <c r="A53" s="8" t="s">
        <v>62</v>
      </c>
      <c r="B53" s="8"/>
      <c r="C53" s="8"/>
      <c r="D53" s="8"/>
      <c r="E53" s="8"/>
      <c r="F53" s="8"/>
    </row>
    <row r="54" spans="1:6" ht="63.75" customHeight="1" x14ac:dyDescent="0.3">
      <c r="A54" s="25" t="s">
        <v>155</v>
      </c>
      <c r="B54" s="12" t="str">
        <f>Scorecard!B33</f>
        <v>LOANS LISTED BY THE CUSTOMER — company, EMI, since when — and reconciled by you against EVERY active loan in the bureau and the CAM obligation table. Any loan not in the CAM = RF-5 (re-run FOIR).</v>
      </c>
      <c r="C54" s="24">
        <f>Scorecard!C33</f>
        <v>5</v>
      </c>
      <c r="D54" s="24">
        <f>Scorecard!F33</f>
        <v>0</v>
      </c>
      <c r="E54" s="23" t="str">
        <f>IF(Scorecard!E33="Yes","✔ Asked",IF(Scorecard!E33="Half","½ Half",IF(Scorecard!E33="No","✘ MISSED","?")))</f>
        <v>?</v>
      </c>
      <c r="F54" s="12" t="str">
        <f>IF(Scorecard!G33="","",Scorecard!G33)</f>
        <v/>
      </c>
    </row>
    <row r="55" spans="1:6" ht="48" customHeight="1" x14ac:dyDescent="0.3">
      <c r="A55" s="23" t="s">
        <v>66</v>
      </c>
      <c r="B55" s="12" t="str">
        <f>Scorecard!B34</f>
        <v>ASK EACH ONE BY NAME, household-wide: samooh / group / MFI loan (including in the wife's name)? KCC? society / PACS? gold pledged? hand loan / bazaar udhaar?</v>
      </c>
      <c r="C55" s="24">
        <f>Scorecard!C34</f>
        <v>3</v>
      </c>
      <c r="D55" s="24">
        <f>Scorecard!F34</f>
        <v>0</v>
      </c>
      <c r="E55" s="23" t="str">
        <f>IF(Scorecard!E34="Yes","✔ Asked",IF(Scorecard!E34="Half","½ Half",IF(Scorecard!E34="No","✘ MISSED","?")))</f>
        <v>?</v>
      </c>
      <c r="F55" s="12" t="str">
        <f>IF(Scorecard!G34="","",Scorecard!G34)</f>
        <v/>
      </c>
    </row>
    <row r="56" spans="1:6" ht="48" customHeight="1" x14ac:dyDescent="0.3">
      <c r="A56" s="23" t="s">
        <v>68</v>
      </c>
      <c r="B56" s="12" t="str">
        <f>Scorecard!B35</f>
        <v>ENQUIRIES in the last 3 months: applied anywhere else? What happened — approved / rejected (why) / withdrawn / pending? Check against the bureau enquiry list.</v>
      </c>
      <c r="C56" s="24">
        <f>Scorecard!C35</f>
        <v>2</v>
      </c>
      <c r="D56" s="24">
        <f>Scorecard!F35</f>
        <v>0</v>
      </c>
      <c r="E56" s="23" t="str">
        <f>IF(Scorecard!E35="Yes","✔ Asked",IF(Scorecard!E35="Half","½ Half",IF(Scorecard!E35="No","✘ MISSED","?")))</f>
        <v>?</v>
      </c>
      <c r="F56" s="12" t="str">
        <f>IF(Scorecard!G35="","",Scorecard!G35)</f>
        <v/>
      </c>
    </row>
    <row r="57" spans="1:6" ht="48" customHeight="1" x14ac:dyDescent="0.3">
      <c r="A57" s="23" t="s">
        <v>70</v>
      </c>
      <c r="B57" s="12" t="str">
        <f>Scorecard!B36</f>
        <v>BOUNCES / OVERDUE: any EMI late or bounced? Any overdue today? Answer must match the bureau and AA; an admitted overdue is cleared before sanction.</v>
      </c>
      <c r="C57" s="24">
        <f>Scorecard!C36</f>
        <v>2</v>
      </c>
      <c r="D57" s="24">
        <f>Scorecard!F36</f>
        <v>0</v>
      </c>
      <c r="E57" s="23" t="str">
        <f>IF(Scorecard!E36="Yes","✔ Asked",IF(Scorecard!E36="Half","½ Half",IF(Scorecard!E36="No","✘ MISSED","?")))</f>
        <v>?</v>
      </c>
      <c r="F57" s="12" t="str">
        <f>IF(Scorecard!G36="","",Scorecard!G36)</f>
        <v/>
      </c>
    </row>
    <row r="58" spans="1:6" ht="15" customHeight="1" x14ac:dyDescent="0.3">
      <c r="A58" s="8" t="s">
        <v>72</v>
      </c>
      <c r="B58" s="8"/>
      <c r="C58" s="8"/>
      <c r="D58" s="8"/>
      <c r="E58" s="8"/>
      <c r="F58" s="8"/>
    </row>
    <row r="59" spans="1:6" ht="31.5" customHeight="1" x14ac:dyDescent="0.3">
      <c r="A59" s="23" t="s">
        <v>74</v>
      </c>
      <c r="B59" s="12" t="str">
        <f>Scorecard!B38</f>
        <v>FAMILY: how many members, how many dependent, monthly household expense — within one of the CAM family table.</v>
      </c>
      <c r="C59" s="24">
        <f>Scorecard!C38</f>
        <v>2</v>
      </c>
      <c r="D59" s="24">
        <f>Scorecard!F38</f>
        <v>0</v>
      </c>
      <c r="E59" s="23" t="str">
        <f>IF(Scorecard!E38="Yes","✔ Asked",IF(Scorecard!E38="Half","½ Half",IF(Scorecard!E38="No","✘ MISSED","?")))</f>
        <v>?</v>
      </c>
      <c r="F59" s="12" t="str">
        <f>IF(Scorecard!G38="","",Scorecard!G38)</f>
        <v/>
      </c>
    </row>
    <row r="60" spans="1:6" ht="63.75" customHeight="1" x14ac:dyDescent="0.3">
      <c r="A60" s="25" t="s">
        <v>156</v>
      </c>
      <c r="B60" s="12" t="str">
        <f>Scorecard!B39</f>
        <v>CO-BORROWER SPOKEN TO on this call (or a separate call recorded): does she / he know the loan, the amount and the purpose, and agree to the mortgage? Female co-borrower — wife (or mother if unmarried) — is mandatory.</v>
      </c>
      <c r="C60" s="24">
        <f>Scorecard!C39</f>
        <v>3</v>
      </c>
      <c r="D60" s="24">
        <f>Scorecard!F39</f>
        <v>0</v>
      </c>
      <c r="E60" s="23" t="str">
        <f>IF(Scorecard!E39="Yes","✔ Asked",IF(Scorecard!E39="Half","½ Half",IF(Scorecard!E39="No","✘ MISSED","?")))</f>
        <v>?</v>
      </c>
      <c r="F60" s="12" t="str">
        <f>IF(Scorecard!G39="","",Scorecard!G39)</f>
        <v/>
      </c>
    </row>
    <row r="61" spans="1:6" ht="48" customHeight="1" x14ac:dyDescent="0.3">
      <c r="A61" s="23" t="s">
        <v>78</v>
      </c>
      <c r="B61" s="12" t="str">
        <f>Scorecard!B40</f>
        <v>PROPERTY OWNER &amp; HEIRS: in whose name; if ancestral — do brothers / sisters / heirs have a share; are all of them in the loan or giving NOC?</v>
      </c>
      <c r="C61" s="24">
        <f>Scorecard!C40</f>
        <v>3</v>
      </c>
      <c r="D61" s="24">
        <f>Scorecard!F40</f>
        <v>0</v>
      </c>
      <c r="E61" s="23" t="str">
        <f>IF(Scorecard!E40="Yes","✔ Asked",IF(Scorecard!E40="Half","½ Half",IF(Scorecard!E40="No","✘ MISSED","?")))</f>
        <v>?</v>
      </c>
      <c r="F61" s="12" t="str">
        <f>IF(Scorecard!G40="","",Scorecard!G40)</f>
        <v/>
      </c>
    </row>
    <row r="62" spans="1:6" ht="15" customHeight="1" x14ac:dyDescent="0.3">
      <c r="A62" s="8" t="s">
        <v>80</v>
      </c>
      <c r="B62" s="8"/>
      <c r="C62" s="8"/>
      <c r="D62" s="8"/>
      <c r="E62" s="8"/>
      <c r="F62" s="8"/>
    </row>
    <row r="63" spans="1:6" ht="63.75" customHeight="1" x14ac:dyDescent="0.3">
      <c r="A63" s="23" t="s">
        <v>82</v>
      </c>
      <c r="B63" s="12" t="str">
        <f>Scorecard!B42</f>
        <v>WHICH PROPERTY: house / shop / plot, where; the ACTUAL owner as per papers; which ORIGINAL papers — registry, rin pustika, patta, naksha. Same property as the CAM / technical report?</v>
      </c>
      <c r="C63" s="24">
        <f>Scorecard!C42</f>
        <v>3</v>
      </c>
      <c r="D63" s="24">
        <f>Scorecard!F42</f>
        <v>0</v>
      </c>
      <c r="E63" s="23" t="str">
        <f>IF(Scorecard!E42="Yes","✔ Asked",IF(Scorecard!E42="Half","½ Half",IF(Scorecard!E42="No","✘ MISSED","?")))</f>
        <v>?</v>
      </c>
      <c r="F63" s="12" t="str">
        <f>IF(Scorecard!G42="","",Scorecard!G42)</f>
        <v/>
      </c>
    </row>
    <row r="64" spans="1:6" ht="48" customHeight="1" x14ac:dyDescent="0.3">
      <c r="A64" s="23" t="s">
        <v>84</v>
      </c>
      <c r="B64" s="12" t="str">
        <f>Scorecard!B43</f>
        <v>CUSTOMER'S OWN VALUE: "aaj bechni ho to kitne ki hai?" — sanity check against the technical valuation; a large gap is escalated.</v>
      </c>
      <c r="C64" s="24">
        <f>Scorecard!C43</f>
        <v>2</v>
      </c>
      <c r="D64" s="24">
        <f>Scorecard!F43</f>
        <v>0</v>
      </c>
      <c r="E64" s="23" t="str">
        <f>IF(Scorecard!E43="Yes","✔ Asked",IF(Scorecard!E43="Half","½ Half",IF(Scorecard!E43="No","✘ MISSED","?")))</f>
        <v>?</v>
      </c>
      <c r="F64" s="12" t="str">
        <f>IF(Scorecard!G43="","",Scorecard!G43)</f>
        <v/>
      </c>
    </row>
    <row r="65" spans="1:6" ht="48" customHeight="1" x14ac:dyDescent="0.3">
      <c r="A65" s="25" t="s">
        <v>157</v>
      </c>
      <c r="B65" s="12" t="str">
        <f>Scorecard!B44</f>
        <v>NO DISPUTE, NO COURT CASE, NO OTHER BANK / FI MORTGAGE OR CHARGE on the property — explicit confirmation. Any issue = RF-6 (STOP — Legal).</v>
      </c>
      <c r="C65" s="24">
        <f>Scorecard!C44</f>
        <v>3</v>
      </c>
      <c r="D65" s="24">
        <f>Scorecard!F44</f>
        <v>0</v>
      </c>
      <c r="E65" s="23" t="str">
        <f>IF(Scorecard!E44="Yes","✔ Asked",IF(Scorecard!E44="Half","½ Half",IF(Scorecard!E44="No","✘ MISSED","?")))</f>
        <v>?</v>
      </c>
      <c r="F65" s="12" t="str">
        <f>IF(Scorecard!G44="","",Scorecard!G44)</f>
        <v/>
      </c>
    </row>
    <row r="66" spans="1:6" ht="15" customHeight="1" x14ac:dyDescent="0.3">
      <c r="A66" s="8" t="s">
        <v>88</v>
      </c>
      <c r="B66" s="8"/>
      <c r="C66" s="8"/>
      <c r="D66" s="8"/>
      <c r="E66" s="8"/>
      <c r="F66" s="8"/>
    </row>
    <row r="67" spans="1:6" ht="48" customHeight="1" x14ac:dyDescent="0.3">
      <c r="A67" s="23" t="s">
        <v>90</v>
      </c>
      <c r="B67" s="12" t="str">
        <f>Scorecard!B46</f>
        <v>EMI CAPACITY: "kitni EMI aaram se de payenge, kis kamai se?" — a figure tied to a specific cashflow; makes sense against stated income and loans (fails = RF-9).</v>
      </c>
      <c r="C67" s="24">
        <f>Scorecard!C46</f>
        <v>3</v>
      </c>
      <c r="D67" s="24">
        <f>Scorecard!F46</f>
        <v>0</v>
      </c>
      <c r="E67" s="23" t="str">
        <f>IF(Scorecard!E46="Yes","✔ Asked",IF(Scorecard!E46="Half","½ Half",IF(Scorecard!E46="No","✘ MISSED","?")))</f>
        <v>?</v>
      </c>
      <c r="F67" s="12" t="str">
        <f>IF(Scorecard!G46="","",Scorecard!G46)</f>
        <v/>
      </c>
    </row>
    <row r="68" spans="1:6" ht="48" customHeight="1" x14ac:dyDescent="0.3">
      <c r="A68" s="23" t="s">
        <v>92</v>
      </c>
      <c r="B68" s="12" t="str">
        <f>Scorecard!B47</f>
        <v>SURPLUS ALOUD: income − household expense − existing EMIs = surplus; does the new EMI fit? Consistent with the CAM surplus.</v>
      </c>
      <c r="C68" s="24">
        <f>Scorecard!C47</f>
        <v>2</v>
      </c>
      <c r="D68" s="24">
        <f>Scorecard!F47</f>
        <v>0</v>
      </c>
      <c r="E68" s="23" t="str">
        <f>IF(Scorecard!E47="Yes","✔ Asked",IF(Scorecard!E47="Half","½ Half",IF(Scorecard!E47="No","✘ MISSED","?")))</f>
        <v>?</v>
      </c>
      <c r="F68" s="12" t="str">
        <f>IF(Scorecard!G47="","",Scorecard!G47)</f>
        <v/>
      </c>
    </row>
    <row r="69" spans="1:6" ht="48" customHeight="1" x14ac:dyDescent="0.3">
      <c r="A69" s="23" t="s">
        <v>94</v>
      </c>
      <c r="B69" s="12" t="str">
        <f>Scorecard!B48</f>
        <v>INTENT: attitude to EMI, any past wilful delay, "EMI late hui to?", commitment to NACH auto-debit. Reluctance on mortgage, NACH, insurance or any condition = RF-10.</v>
      </c>
      <c r="C69" s="24">
        <f>Scorecard!C48</f>
        <v>3</v>
      </c>
      <c r="D69" s="24">
        <f>Scorecard!F48</f>
        <v>0</v>
      </c>
      <c r="E69" s="23" t="str">
        <f>IF(Scorecard!E48="Yes","✔ Asked",IF(Scorecard!E48="Half","½ Half",IF(Scorecard!E48="No","✘ MISSED","?")))</f>
        <v>?</v>
      </c>
      <c r="F69" s="12" t="str">
        <f>IF(Scorecard!G48="","",Scorecard!G48)</f>
        <v/>
      </c>
    </row>
    <row r="70" spans="1:6" ht="15" customHeight="1" x14ac:dyDescent="0.3">
      <c r="A70" s="8" t="s">
        <v>96</v>
      </c>
      <c r="B70" s="8"/>
      <c r="C70" s="8"/>
      <c r="D70" s="8"/>
      <c r="E70" s="8"/>
      <c r="F70" s="8"/>
    </row>
    <row r="71" spans="1:6" ht="48" customHeight="1" x14ac:dyDescent="0.3">
      <c r="A71" s="23" t="s">
        <v>98</v>
      </c>
      <c r="B71" s="12" t="str">
        <f>Scorecard!B50</f>
        <v>Say: ZERO COMMISSION — nobody is to be paid; all charges official and in writing. Indicative EMI for the applied amount — clearly indicative, not a promise.</v>
      </c>
      <c r="C71" s="24">
        <f>Scorecard!C50</f>
        <v>3</v>
      </c>
      <c r="D71" s="24">
        <f>Scorecard!F50</f>
        <v>0</v>
      </c>
      <c r="E71" s="23" t="str">
        <f>IF(Scorecard!E50="Yes","✔ Asked",IF(Scorecard!E50="Half","½ Half",IF(Scorecard!E50="No","✘ MISSED","?")))</f>
        <v>?</v>
      </c>
      <c r="F71" s="12" t="str">
        <f>IF(Scorecard!G50="","",Scorecard!G50)</f>
        <v/>
      </c>
    </row>
    <row r="72" spans="1:6" ht="48" customHeight="1" x14ac:dyDescent="0.3">
      <c r="A72" s="23" t="s">
        <v>100</v>
      </c>
      <c r="B72" s="12" t="str">
        <f>Scorecard!B51</f>
        <v>Confirm once more: BUSINESS Loan Against Property, mortgage — the customer is not expecting an unsecured loan, a government scheme or any waiver (RF-8).</v>
      </c>
      <c r="C72" s="24">
        <f>Scorecard!C51</f>
        <v>2</v>
      </c>
      <c r="D72" s="24">
        <f>Scorecard!F51</f>
        <v>0</v>
      </c>
      <c r="E72" s="23" t="str">
        <f>IF(Scorecard!E51="Yes","✔ Asked",IF(Scorecard!E51="Half","½ Half",IF(Scorecard!E51="No","✘ MISSED","?")))</f>
        <v>?</v>
      </c>
      <c r="F72" s="12" t="str">
        <f>IF(Scorecard!G51="","",Scorecard!G51)</f>
        <v/>
      </c>
    </row>
    <row r="73" spans="1:6" ht="63.75" customHeight="1" x14ac:dyDescent="0.3">
      <c r="A73" s="23" t="s">
        <v>102</v>
      </c>
      <c r="B73" s="12" t="str">
        <f>Scorecard!B52</f>
        <v>NEXT STEPS told: pending documents → if approved, SOFT SANCTION LETTER → SANCTION LETTER with KFS → DISBURSEMENT; the Operations team will call. How to complain (branch / nodal officer). "Aapka koi sawaal?" — answered.</v>
      </c>
      <c r="C73" s="24">
        <f>Scorecard!C52</f>
        <v>3</v>
      </c>
      <c r="D73" s="24">
        <f>Scorecard!F52</f>
        <v>0</v>
      </c>
      <c r="E73" s="23" t="str">
        <f>IF(Scorecard!E52="Yes","✔ Asked",IF(Scorecard!E52="Half","½ Half",IF(Scorecard!E52="No","✘ MISSED","?")))</f>
        <v>?</v>
      </c>
      <c r="F73" s="12" t="str">
        <f>IF(Scorecard!G52="","",Scorecard!G52)</f>
        <v/>
      </c>
    </row>
    <row r="74" spans="1:6" ht="96" customHeight="1" x14ac:dyDescent="0.3">
      <c r="A74" s="25" t="s">
        <v>158</v>
      </c>
      <c r="B74" s="12" t="str">
        <f>Scorecard!B53</f>
        <v>YOUR DECISION NOTE on record: every red flag raised (RF code) and how it will be resolved; every change the call forces in the CAM (income to add / reassess, obligation to add, FOIR re-run, end use); APPROVE / APPROVE WITH CONDITIONS / REJECT — with reasons. No approval past an open red flag.</v>
      </c>
      <c r="C74" s="24">
        <f>Scorecard!C53</f>
        <v>2</v>
      </c>
      <c r="D74" s="24">
        <f>Scorecard!F53</f>
        <v>0</v>
      </c>
      <c r="E74" s="23" t="str">
        <f>IF(Scorecard!E53="Yes","✔ Asked",IF(Scorecard!E53="Half","½ Half",IF(Scorecard!E53="No","✘ MISSED","?")))</f>
        <v>?</v>
      </c>
      <c r="F74" s="12" t="str">
        <f>IF(Scorecard!G53="","",Scorecard!G53)</f>
        <v/>
      </c>
    </row>
    <row r="76" spans="1:6" ht="25.5" customHeight="1" x14ac:dyDescent="0.3">
      <c r="A76" s="16" t="s">
        <v>159</v>
      </c>
      <c r="B76" s="16"/>
      <c r="C76" s="16"/>
      <c r="D76" s="16"/>
      <c r="E76" s="16"/>
      <c r="F76" s="16"/>
    </row>
  </sheetData>
  <mergeCells count="31">
    <mergeCell ref="A62:F62"/>
    <mergeCell ref="A66:F66"/>
    <mergeCell ref="A70:F70"/>
    <mergeCell ref="A76:F76"/>
    <mergeCell ref="A36:F36"/>
    <mergeCell ref="A42:F42"/>
    <mergeCell ref="A46:F46"/>
    <mergeCell ref="A53:F53"/>
    <mergeCell ref="A58:F58"/>
    <mergeCell ref="A25:F25"/>
    <mergeCell ref="B26:E26"/>
    <mergeCell ref="B27:E27"/>
    <mergeCell ref="B28:E28"/>
    <mergeCell ref="A31:F31"/>
    <mergeCell ref="A10:B10"/>
    <mergeCell ref="C10:F10"/>
    <mergeCell ref="A11:B11"/>
    <mergeCell ref="C11:F11"/>
    <mergeCell ref="A12:F12"/>
    <mergeCell ref="A6:B6"/>
    <mergeCell ref="C6:F6"/>
    <mergeCell ref="A7:B7"/>
    <mergeCell ref="C7:F7"/>
    <mergeCell ref="A8:B8"/>
    <mergeCell ref="C8:F8"/>
    <mergeCell ref="A1:F1"/>
    <mergeCell ref="A2:F2"/>
    <mergeCell ref="A4:B4"/>
    <mergeCell ref="C4:F4"/>
    <mergeCell ref="A5:B5"/>
    <mergeCell ref="C5:F5"/>
  </mergeCells>
  <conditionalFormatting sqref="C11">
    <cfRule type="expression" dxfId="6" priority="2">
      <formula>LEFT(C11,3)="NOT"</formula>
    </cfRule>
    <cfRule type="expression" dxfId="5" priority="3">
      <formula>LEFT(C11,3)&lt;&gt;"NOT"</formula>
    </cfRule>
  </conditionalFormatting>
  <conditionalFormatting sqref="E26:E75">
    <cfRule type="expression" dxfId="4" priority="22">
      <formula>LEFT(E26,1)="✘"</formula>
    </cfRule>
    <cfRule type="expression" dxfId="3" priority="23">
      <formula>LEFT(E26,1)="½"</formula>
    </cfRule>
    <cfRule type="expression" dxfId="2" priority="24">
      <formula>LEFT(E26,1)="✔"</formula>
    </cfRule>
  </conditionalFormatting>
  <conditionalFormatting sqref="F15:F23">
    <cfRule type="expression" dxfId="1" priority="4">
      <formula>LEFT(F15,5)="Fully"</formula>
    </cfRule>
    <cfRule type="expression" dxfId="0" priority="5">
      <formula>OR(LEFT(F15,4)="Weak",LEFT(F15,6)="Mostly")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Scorecard</vt:lpstr>
      <vt:lpstr>My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Amit Goel</cp:lastModifiedBy>
  <cp:revision>0</cp:revision>
  <dcterms:created xsi:type="dcterms:W3CDTF">2026-09-13T08:53:39Z</dcterms:created>
  <dcterms:modified xsi:type="dcterms:W3CDTF">2026-09-13T09:00:11Z</dcterms:modified>
  <dc:language>en-US</dc:language>
</cp:coreProperties>
</file>