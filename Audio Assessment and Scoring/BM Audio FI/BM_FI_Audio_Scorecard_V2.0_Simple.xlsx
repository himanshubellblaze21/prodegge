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g\Desktop\Audio PD AI Assessment\BM Audio FI\September 2026\"/>
    </mc:Choice>
  </mc:AlternateContent>
  <xr:revisionPtr revIDLastSave="0" documentId="8_{3D1BFE89-FDB2-45A2-A6A2-523B29E1EE3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corecard" sheetId="1" r:id="rId1"/>
    <sheet name="My Resul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1" i="2" l="1"/>
  <c r="E61" i="2"/>
  <c r="C61" i="2"/>
  <c r="B61" i="2"/>
  <c r="F60" i="2"/>
  <c r="E60" i="2"/>
  <c r="C60" i="2"/>
  <c r="B60" i="2"/>
  <c r="F59" i="2"/>
  <c r="E59" i="2"/>
  <c r="C59" i="2"/>
  <c r="B59" i="2"/>
  <c r="F57" i="2"/>
  <c r="E57" i="2"/>
  <c r="C57" i="2"/>
  <c r="B57" i="2"/>
  <c r="F56" i="2"/>
  <c r="E56" i="2"/>
  <c r="C56" i="2"/>
  <c r="B56" i="2"/>
  <c r="F55" i="2"/>
  <c r="E55" i="2"/>
  <c r="C55" i="2"/>
  <c r="B55" i="2"/>
  <c r="F54" i="2"/>
  <c r="E54" i="2"/>
  <c r="C54" i="2"/>
  <c r="B54" i="2"/>
  <c r="F52" i="2"/>
  <c r="E52" i="2"/>
  <c r="C52" i="2"/>
  <c r="B52" i="2"/>
  <c r="F51" i="2"/>
  <c r="E51" i="2"/>
  <c r="C51" i="2"/>
  <c r="B51" i="2"/>
  <c r="F50" i="2"/>
  <c r="E50" i="2"/>
  <c r="C50" i="2"/>
  <c r="B50" i="2"/>
  <c r="F48" i="2"/>
  <c r="E48" i="2"/>
  <c r="C48" i="2"/>
  <c r="B48" i="2"/>
  <c r="F47" i="2"/>
  <c r="E47" i="2"/>
  <c r="C47" i="2"/>
  <c r="B47" i="2"/>
  <c r="F46" i="2"/>
  <c r="E46" i="2"/>
  <c r="C46" i="2"/>
  <c r="B46" i="2"/>
  <c r="F45" i="2"/>
  <c r="E45" i="2"/>
  <c r="C45" i="2"/>
  <c r="B45" i="2"/>
  <c r="F44" i="2"/>
  <c r="E44" i="2"/>
  <c r="C44" i="2"/>
  <c r="B44" i="2"/>
  <c r="F42" i="2"/>
  <c r="E42" i="2"/>
  <c r="C42" i="2"/>
  <c r="B42" i="2"/>
  <c r="F41" i="2"/>
  <c r="E41" i="2"/>
  <c r="C41" i="2"/>
  <c r="B41" i="2"/>
  <c r="F40" i="2"/>
  <c r="E40" i="2"/>
  <c r="C40" i="2"/>
  <c r="B40" i="2"/>
  <c r="F38" i="2"/>
  <c r="E38" i="2"/>
  <c r="C38" i="2"/>
  <c r="B38" i="2"/>
  <c r="F37" i="2"/>
  <c r="E37" i="2"/>
  <c r="C37" i="2"/>
  <c r="B37" i="2"/>
  <c r="F36" i="2"/>
  <c r="E36" i="2"/>
  <c r="C36" i="2"/>
  <c r="B36" i="2"/>
  <c r="F35" i="2"/>
  <c r="E35" i="2"/>
  <c r="C35" i="2"/>
  <c r="B35" i="2"/>
  <c r="F33" i="2"/>
  <c r="E33" i="2"/>
  <c r="C33" i="2"/>
  <c r="B33" i="2"/>
  <c r="F32" i="2"/>
  <c r="E32" i="2"/>
  <c r="C32" i="2"/>
  <c r="B32" i="2"/>
  <c r="F31" i="2"/>
  <c r="E31" i="2"/>
  <c r="C31" i="2"/>
  <c r="B31" i="2"/>
  <c r="F30" i="2"/>
  <c r="E30" i="2"/>
  <c r="C30" i="2"/>
  <c r="B30" i="2"/>
  <c r="C8" i="2"/>
  <c r="C7" i="2"/>
  <c r="C6" i="2"/>
  <c r="C5" i="2"/>
  <c r="C4" i="2"/>
  <c r="C48" i="1"/>
  <c r="C49" i="1" s="1"/>
  <c r="C44" i="1"/>
  <c r="C50" i="1" s="1"/>
  <c r="C11" i="2" s="1"/>
  <c r="H42" i="1"/>
  <c r="F42" i="1"/>
  <c r="D61" i="2" s="1"/>
  <c r="H41" i="1"/>
  <c r="F41" i="1"/>
  <c r="D60" i="2" s="1"/>
  <c r="H40" i="1"/>
  <c r="F40" i="1"/>
  <c r="H38" i="1"/>
  <c r="F38" i="1"/>
  <c r="D57" i="2" s="1"/>
  <c r="H37" i="1"/>
  <c r="F37" i="1"/>
  <c r="D56" i="2" s="1"/>
  <c r="H36" i="1"/>
  <c r="F36" i="1"/>
  <c r="D55" i="2" s="1"/>
  <c r="H35" i="1"/>
  <c r="F35" i="1"/>
  <c r="H33" i="1"/>
  <c r="F33" i="1"/>
  <c r="D52" i="2" s="1"/>
  <c r="H32" i="1"/>
  <c r="F32" i="1"/>
  <c r="D51" i="2" s="1"/>
  <c r="H31" i="1"/>
  <c r="F31" i="1"/>
  <c r="H29" i="1"/>
  <c r="F29" i="1"/>
  <c r="D48" i="2" s="1"/>
  <c r="H28" i="1"/>
  <c r="F28" i="1"/>
  <c r="D47" i="2" s="1"/>
  <c r="H27" i="1"/>
  <c r="F27" i="1"/>
  <c r="D46" i="2" s="1"/>
  <c r="H26" i="1"/>
  <c r="F26" i="1"/>
  <c r="D45" i="2" s="1"/>
  <c r="H25" i="1"/>
  <c r="F25" i="1"/>
  <c r="H23" i="1"/>
  <c r="F23" i="1"/>
  <c r="D42" i="2" s="1"/>
  <c r="H22" i="1"/>
  <c r="F22" i="1"/>
  <c r="D41" i="2" s="1"/>
  <c r="H21" i="1"/>
  <c r="F21" i="1"/>
  <c r="H19" i="1"/>
  <c r="F19" i="1"/>
  <c r="D38" i="2" s="1"/>
  <c r="H18" i="1"/>
  <c r="F18" i="1"/>
  <c r="D37" i="2" s="1"/>
  <c r="H17" i="1"/>
  <c r="F17" i="1"/>
  <c r="D36" i="2" s="1"/>
  <c r="H16" i="1"/>
  <c r="F16" i="1"/>
  <c r="H14" i="1"/>
  <c r="F14" i="1"/>
  <c r="D33" i="2" s="1"/>
  <c r="H13" i="1"/>
  <c r="F13" i="1"/>
  <c r="D32" i="2" s="1"/>
  <c r="H12" i="1"/>
  <c r="F12" i="1"/>
  <c r="D31" i="2" s="1"/>
  <c r="H11" i="1"/>
  <c r="F11" i="1"/>
  <c r="D59" i="2" l="1"/>
  <c r="D21" i="2"/>
  <c r="D54" i="2"/>
  <c r="D20" i="2"/>
  <c r="D50" i="2"/>
  <c r="D19" i="2"/>
  <c r="D44" i="2"/>
  <c r="D18" i="2"/>
  <c r="D40" i="2"/>
  <c r="D17" i="2"/>
  <c r="D35" i="2"/>
  <c r="D16" i="2"/>
  <c r="F24" i="2"/>
  <c r="F26" i="2"/>
  <c r="B24" i="2"/>
  <c r="B26" i="2"/>
  <c r="F25" i="2"/>
  <c r="B25" i="2"/>
  <c r="D30" i="2"/>
  <c r="D15" i="2"/>
  <c r="C46" i="1"/>
  <c r="C47" i="1" s="1"/>
  <c r="C10" i="2" s="1"/>
  <c r="E21" i="2" l="1"/>
  <c r="F21" i="2"/>
  <c r="E20" i="2"/>
  <c r="F20" i="2"/>
  <c r="E19" i="2"/>
  <c r="F19" i="2"/>
  <c r="E18" i="2"/>
  <c r="F18" i="2"/>
  <c r="E17" i="2"/>
  <c r="F17" i="2"/>
  <c r="E16" i="2"/>
  <c r="F16" i="2"/>
  <c r="E15" i="2"/>
  <c r="F15" i="2"/>
</calcChain>
</file>

<file path=xl/sharedStrings.xml><?xml version="1.0" encoding="utf-8"?>
<sst xmlns="http://schemas.openxmlformats.org/spreadsheetml/2006/main" count="174" uniqueCount="135">
  <si>
    <t>BM AUDIO FI — PHONE CALL RECORDING SCORECARD (V2.0 Simple)</t>
  </si>
  <si>
    <t>Evaluator: fill the yellow cells only. For each item choose Yes (asked / said fully with names and figures), Half (asked but vague or incomplete) or No (not asked). Score, result and the BM's "My Result" page fill automatically.</t>
  </si>
  <si>
    <t>Application ID</t>
  </si>
  <si>
    <t>Recording length (minutes)</t>
  </si>
  <si>
    <t>Customer name</t>
  </si>
  <si>
    <t>Recording uploaded on PRAGATI the same day? (Yes/No)</t>
  </si>
  <si>
    <t>BM name</t>
  </si>
  <si>
    <t>Both sides clearly audible? (Yes/No)</t>
  </si>
  <si>
    <t>Date of call &amp; recording</t>
  </si>
  <si>
    <t>Evaluator</t>
  </si>
  <si>
    <t>No</t>
  </si>
  <si>
    <t>WHAT THE BM MUST ASK / SAY ON THE CALL</t>
  </si>
  <si>
    <t>Points</t>
  </si>
  <si>
    <t>MUST</t>
  </si>
  <si>
    <t>Covered? (Yes / Half / No)</t>
  </si>
  <si>
    <t>Score</t>
  </si>
  <si>
    <t>What was missing — evaluator note</t>
  </si>
  <si>
    <t>lost (helper)</t>
  </si>
  <si>
    <t>A. CALL OPENING &amp; IDENTITY</t>
  </si>
  <si>
    <t>Minute 0–1</t>
  </si>
  <si>
    <t>A1</t>
  </si>
  <si>
    <t>Say at the start: "Yeh call record ho rahi hai, aapke loan verification ke liye." Then state Application ID, customer name and village/town.</t>
  </si>
  <si>
    <t>A2</t>
  </si>
  <si>
    <t>Confirm you are talking to the MAIN BORROWER himself / herself — full name, this is his own number (on video: face matches the KYC photo). Not a relative, agent or anyone else.</t>
  </si>
  <si>
    <t>A3</t>
  </si>
  <si>
    <t>Customer confirms a loan file has been logged with Prodigee Finance — without you telling him the details first.</t>
  </si>
  <si>
    <t>A4</t>
  </si>
  <si>
    <t>Say that you have seen the BPS score, the business photos and the application before calling. Speak in the language the customer is comfortable in; both sides clearly audible.</t>
  </si>
  <si>
    <t>B. SOURCING, RM VISIT &amp; LOGIN FEE</t>
  </si>
  <si>
    <t>Minute 1–3</t>
  </si>
  <si>
    <t>B1</t>
  </si>
  <si>
    <t>Who came for the login — the RM's NAME; did he visit the business and the home; what did he see. Must match the sourcing record on PRAGATI.</t>
  </si>
  <si>
    <t>B2</t>
  </si>
  <si>
    <t>LOGIN FEE: how much was collected, by WHOM (must be the Prodigee RM himself), and was a receipt given. Amount must match PRAGATI.</t>
  </si>
  <si>
    <t>B3</t>
  </si>
  <si>
    <t>Ask directly: any agent, broker, DSA or connector in between? Did ANYONE ask for commission, fees or money for this loan? Tell the customer: Prodigee has ZERO COMMISSION — pay nobody.</t>
  </si>
  <si>
    <t>B4</t>
  </si>
  <si>
    <t>How the customer reached Prodigee (walk-in / reference / RM visit) — consistent with the sourcing channel on PRAGATI.</t>
  </si>
  <si>
    <t>C. LOAN, PRODUCT &amp; END USE</t>
  </si>
  <si>
    <t>Minute 3–5</t>
  </si>
  <si>
    <t>C1</t>
  </si>
  <si>
    <t>Customer clearly understands: this is a BUSINESS Loan Against Property — the property will be MORTGAGED to Prodigee.</t>
  </si>
  <si>
    <t>C2</t>
  </si>
  <si>
    <t>LOAN REQUIREMENT: the customer states the amount himself (do NOT lead with the figure) — within 10% of the application; tenure; then tell him the approximate EMI for that amount and tenure.</t>
  </si>
  <si>
    <t>C3</t>
  </si>
  <si>
    <t>END USE: what the money is for — how much, for what, when. Business-linked and not a restricted use.</t>
  </si>
  <si>
    <t>D. ALL INCOMES OF THE HOUSEHOLD</t>
  </si>
  <si>
    <t>Minute 5–9</t>
  </si>
  <si>
    <t>D1</t>
  </si>
  <si>
    <t>PRIMARY BUSINESS: what, where, since when, who runs it. Average DAILY sales / income and MONTHLY income — in the customer's own figures.</t>
  </si>
  <si>
    <t>D2</t>
  </si>
  <si>
    <t>OTHER BUSINESSES run by the borrower or co-borrowers — each one with its average daily and monthly income.</t>
  </si>
  <si>
    <t>D3</t>
  </si>
  <si>
    <t>ADDITIONAL INCOMES: salary, rent, dairy, pension, transport, family members' earnings — source and monthly amount for each.</t>
  </si>
  <si>
    <t>D4</t>
  </si>
  <si>
    <t>AGRICULTURAL INCOME: land — acres, in whose name; crops; approximate yearly income; KCC running? If no farm land, say so clearly (counts as covered).</t>
  </si>
  <si>
    <t>D5</t>
  </si>
  <si>
    <t>SUFFICIENCY VIEW — say it on record: total household income (excluding agri) at least Rs. 30,000/month and one earner at least Rs. 15,000/month? Is the income from ALL sources sufficient for the LAP amount asked? Yes / No, and why.</t>
  </si>
  <si>
    <t>E. CURRENT LOANS &amp; OTHER APPLICATIONS</t>
  </si>
  <si>
    <t>Minute 9–11</t>
  </si>
  <si>
    <t>E1</t>
  </si>
  <si>
    <t>CURRENT OBLIGATIONS: every loan running — lender, EMI, since when — checked against the BPS / bureau in front of you; plus MFI / SHG, KCC, gold, hand loans. Any loan not in the bureau — note it.</t>
  </si>
  <si>
    <t>E2</t>
  </si>
  <si>
    <t>OVERDUES / BOUNCES shown in the BPS put to the customer one by one — his reason recorded. Any other BPS red flag (recent enquiries, settlement) asked.</t>
  </si>
  <si>
    <t>E3</t>
  </si>
  <si>
    <t>APPLIED ANYWHERE ELSE? Which bank / NBFC, how much, when, and the STATUS — sanctioned / rejected / pending — and why. Total amount he is seeking from all lenders.</t>
  </si>
  <si>
    <t>F. COLLATERAL PROPERTY</t>
  </si>
  <si>
    <t>Minute 11–13</t>
  </si>
  <si>
    <t>F1</t>
  </si>
  <si>
    <t>WHICH PROPERTY will be mortgaged: house / shop / plot, where, self-occupied or rented out, approximate size.</t>
  </si>
  <si>
    <t>F2</t>
  </si>
  <si>
    <t>PROPERTY PAPERS: what type the customer will give — Registered Sale Deed / Patta / 5-pager / other; are the ORIGINALS with him?</t>
  </si>
  <si>
    <t>F3</t>
  </si>
  <si>
    <t>ALREADY MORTGAGED anywhere? Papers lying with any bank / finance company? Any dispute or court case? Is he willing to mortgage it?</t>
  </si>
  <si>
    <t>F4</t>
  </si>
  <si>
    <t>OWNERS: who all are the owners of the property — will ALL of them come as CO-BORROWERS? FEMALE CO-BORROWER IS MANDATORY — wife (or mother, if unmarried): her name, and has she agreed?</t>
  </si>
  <si>
    <t>G. CALL CONDUCT &amp; BM DECISION</t>
  </si>
  <si>
    <t>Minute 13–15</t>
  </si>
  <si>
    <t>G1</t>
  </si>
  <si>
    <t>Call 5 to 15 minutes, both sides audible end to end. Open questions — the customer speaks first; no feeding of figures; nobody prompting him in the background.</t>
  </si>
  <si>
    <t>G2</t>
  </si>
  <si>
    <t>Tell the customer the next steps: the file goes to the Credit Team; a Credit call will come; then the BCM will visit the business and the home. Clean Track Reward (last 3 EMIs waived on clean repayment). Pay nobody any commission.</t>
  </si>
  <si>
    <t>G3</t>
  </si>
  <si>
    <t>YOUR DECISION on record with the reason: FORWARD to CPA, or REJECT at BM stage (income gate / credit behaviour / sourcing doubt / property / not the borrower). A well-reasoned REJECT scores full.</t>
  </si>
  <si>
    <t>Recording valid? (5–15 minutes, uploaded same day, audible)</t>
  </si>
  <si>
    <t>Points applicable</t>
  </si>
  <si>
    <t>Points scored</t>
  </si>
  <si>
    <t>SCORE (out of 100)</t>
  </si>
  <si>
    <t>MUST items not fully covered (count)</t>
  </si>
  <si>
    <t>MUST items missed (list)</t>
  </si>
  <si>
    <t>RESULT</t>
  </si>
  <si>
    <t>MY FI CALL RESULT</t>
  </si>
  <si>
    <t>Read this after every FI call. It shows your score, what you missed and what to ask first next time. Nothing to fill here — it comes from the Scorecard.</t>
  </si>
  <si>
    <t>BM</t>
  </si>
  <si>
    <t>Customer</t>
  </si>
  <si>
    <t>Date</t>
  </si>
  <si>
    <t>Recording length (min)</t>
  </si>
  <si>
    <t>MY SCORE</t>
  </si>
  <si>
    <t>Minimum to pass: 75. All MUST items must be Yes. 90+ is Excellent.</t>
  </si>
  <si>
    <t>HOW I DID — GROUP-WISE</t>
  </si>
  <si>
    <t>I got</t>
  </si>
  <si>
    <t>%</t>
  </si>
  <si>
    <t>Comment</t>
  </si>
  <si>
    <t>A</t>
  </si>
  <si>
    <t>Call Opening &amp; Identity</t>
  </si>
  <si>
    <t>B</t>
  </si>
  <si>
    <t>Sourcing, RM Visit &amp; Login Fee</t>
  </si>
  <si>
    <t>C</t>
  </si>
  <si>
    <t>Loan, Product &amp; End Use</t>
  </si>
  <si>
    <t>D</t>
  </si>
  <si>
    <t>All Incomes Of The Household</t>
  </si>
  <si>
    <t>E</t>
  </si>
  <si>
    <t>Current Loans &amp; Other Applications</t>
  </si>
  <si>
    <t>F</t>
  </si>
  <si>
    <t>Collateral Property</t>
  </si>
  <si>
    <t>G</t>
  </si>
  <si>
    <t>Call Conduct &amp; BM Decision</t>
  </si>
  <si>
    <t>NEXT TIME — ASK THESE FIRST (the 3 items where I lost most points)</t>
  </si>
  <si>
    <t>MY CHECKLIST — WHAT I ASKED AND WHAT I MISSED</t>
  </si>
  <si>
    <t>Mark</t>
  </si>
  <si>
    <t>What was missing</t>
  </si>
  <si>
    <t>A1 ★</t>
  </si>
  <si>
    <t>A2 ★</t>
  </si>
  <si>
    <t>B2 ★</t>
  </si>
  <si>
    <t>B3 ★</t>
  </si>
  <si>
    <t>C1 ★</t>
  </si>
  <si>
    <t>C2 ★</t>
  </si>
  <si>
    <t>D5 ★</t>
  </si>
  <si>
    <t>E1 ★</t>
  </si>
  <si>
    <t>E3 ★</t>
  </si>
  <si>
    <t>F2 ★</t>
  </si>
  <si>
    <t>F3 ★</t>
  </si>
  <si>
    <t>F4 ★</t>
  </si>
  <si>
    <t>G3 ★</t>
  </si>
  <si>
    <t>★ = MUST item. A MUST item marked ½ or ✘ means the recording is not accepted — call the customer again for those points (a short extra call covering only the missed points is fine).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</si>
</sst>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ptos Display"/>
      <charset val="1"/>
    </font>
    <font>
      <i/>
      <sz val="11"/>
      <color rgb="FF595959"/>
      <name val="Aptos Display"/>
      <charset val="1"/>
    </font>
    <font>
      <b/>
      <sz val="11"/>
      <name val="Aptos Display"/>
      <charset val="1"/>
    </font>
    <font>
      <sz val="11"/>
      <name val="Aptos Display"/>
      <charset val="1"/>
    </font>
    <font>
      <b/>
      <sz val="11"/>
      <color rgb="FFFFFFFF"/>
      <name val="Aptos Display"/>
      <charset val="1"/>
    </font>
    <font>
      <sz val="11"/>
      <color rgb="FFA6A6A6"/>
      <name val="Aptos Display"/>
      <charset val="1"/>
    </font>
    <font>
      <b/>
      <sz val="11"/>
      <color rgb="FF7C1D1D"/>
      <name val="Aptos Display"/>
      <charset val="1"/>
    </font>
    <font>
      <b/>
      <sz val="14"/>
      <name val="Aptos Display"/>
      <charset val="1"/>
    </font>
    <font>
      <b/>
      <sz val="12"/>
      <name val="Aptos Display"/>
      <charset val="1"/>
    </font>
    <font>
      <b/>
      <sz val="16"/>
      <color rgb="FFFFFFFF"/>
      <name val="Aptos Display"/>
      <charset val="1"/>
    </font>
    <font>
      <b/>
      <sz val="12"/>
      <color rgb="FFFFFFFF"/>
      <name val="Aptos Display"/>
      <charset val="1"/>
    </font>
    <font>
      <b/>
      <sz val="20"/>
      <name val="Aptos Display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F7FC"/>
        <bgColor rgb="FFFFFFFF"/>
      </patternFill>
    </fill>
    <fill>
      <patternFill patternType="solid">
        <fgColor rgb="FFFFF2CC"/>
        <bgColor rgb="FFFBE4E4"/>
      </patternFill>
    </fill>
    <fill>
      <patternFill patternType="solid">
        <fgColor rgb="FF2E5496"/>
        <b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BE4E4"/>
        </patternFill>
      </fill>
    </dxf>
    <dxf>
      <fill>
        <patternFill>
          <bgColor rgb="FFE2EFDA"/>
        </patternFill>
      </fill>
    </dxf>
    <dxf>
      <fill>
        <patternFill>
          <bgColor rgb="FFFB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1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4F7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zoomScaleNormal="100" workbookViewId="0">
      <pane ySplit="9" topLeftCell="A10" activePane="bottomLeft" state="frozen"/>
      <selection pane="bottomLeft" activeCell="C50" sqref="C50:G50"/>
    </sheetView>
  </sheetViews>
  <sheetFormatPr defaultColWidth="8.6640625" defaultRowHeight="14.4" x14ac:dyDescent="0.3"/>
  <cols>
    <col min="1" max="1" width="18.5546875" style="24" customWidth="1"/>
    <col min="2" max="2" width="78" style="24" customWidth="1"/>
    <col min="3" max="3" width="10.33203125" style="24" customWidth="1"/>
    <col min="4" max="5" width="12" style="24" customWidth="1"/>
    <col min="6" max="6" width="7" style="24" customWidth="1"/>
    <col min="7" max="7" width="40" style="24" customWidth="1"/>
    <col min="8" max="8" width="8" style="24" customWidth="1"/>
    <col min="9" max="16384" width="8.6640625" style="24"/>
  </cols>
  <sheetData>
    <row r="1" spans="1:8" ht="18" x14ac:dyDescent="0.3">
      <c r="A1" s="23" t="s">
        <v>0</v>
      </c>
      <c r="B1" s="23"/>
      <c r="C1" s="23"/>
      <c r="D1" s="23"/>
      <c r="E1" s="23"/>
      <c r="F1" s="23"/>
      <c r="G1" s="23"/>
    </row>
    <row r="2" spans="1:8" x14ac:dyDescent="0.3">
      <c r="A2" s="25" t="s">
        <v>1</v>
      </c>
      <c r="B2" s="25"/>
      <c r="C2" s="25"/>
      <c r="D2" s="25"/>
      <c r="E2" s="25"/>
      <c r="F2" s="25"/>
      <c r="G2" s="25"/>
    </row>
    <row r="4" spans="1:8" x14ac:dyDescent="0.3">
      <c r="A4" s="26" t="s">
        <v>2</v>
      </c>
      <c r="B4" s="27"/>
      <c r="C4" s="28" t="s">
        <v>3</v>
      </c>
      <c r="D4" s="28"/>
      <c r="E4" s="29"/>
      <c r="F4" s="29"/>
      <c r="G4" s="29"/>
    </row>
    <row r="5" spans="1:8" x14ac:dyDescent="0.3">
      <c r="A5" s="26" t="s">
        <v>4</v>
      </c>
      <c r="B5" s="27"/>
      <c r="C5" s="28" t="s">
        <v>5</v>
      </c>
      <c r="D5" s="28"/>
      <c r="E5" s="30"/>
      <c r="F5" s="30"/>
      <c r="G5" s="30"/>
    </row>
    <row r="6" spans="1:8" x14ac:dyDescent="0.3">
      <c r="A6" s="26" t="s">
        <v>6</v>
      </c>
      <c r="B6" s="27"/>
      <c r="C6" s="28" t="s">
        <v>7</v>
      </c>
      <c r="D6" s="28"/>
      <c r="E6" s="30"/>
      <c r="F6" s="30"/>
      <c r="G6" s="30"/>
    </row>
    <row r="7" spans="1:8" ht="28.8" x14ac:dyDescent="0.3">
      <c r="A7" s="26" t="s">
        <v>8</v>
      </c>
      <c r="B7" s="27"/>
      <c r="C7" s="28" t="s">
        <v>9</v>
      </c>
      <c r="D7" s="28"/>
      <c r="E7" s="30"/>
      <c r="F7" s="30"/>
      <c r="G7" s="30"/>
    </row>
    <row r="9" spans="1:8" ht="43.2" x14ac:dyDescent="0.3">
      <c r="A9" s="12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15</v>
      </c>
      <c r="G9" s="12" t="s">
        <v>16</v>
      </c>
      <c r="H9" s="31" t="s">
        <v>17</v>
      </c>
    </row>
    <row r="10" spans="1:8" x14ac:dyDescent="0.3">
      <c r="A10" s="9" t="s">
        <v>18</v>
      </c>
      <c r="B10" s="9"/>
      <c r="C10" s="13">
        <v>10</v>
      </c>
      <c r="D10" s="13"/>
      <c r="E10" s="13"/>
      <c r="F10" s="13"/>
      <c r="G10" s="13" t="s">
        <v>19</v>
      </c>
    </row>
    <row r="11" spans="1:8" ht="28.8" x14ac:dyDescent="0.3">
      <c r="A11" s="32" t="s">
        <v>20</v>
      </c>
      <c r="B11" s="18" t="s">
        <v>21</v>
      </c>
      <c r="C11" s="33">
        <v>3</v>
      </c>
      <c r="D11" s="34" t="s">
        <v>13</v>
      </c>
      <c r="E11" s="35"/>
      <c r="F11" s="33">
        <f>IF(E11="Yes",C11,IF(E11="Half",C11/2,0))</f>
        <v>0</v>
      </c>
      <c r="G11" s="27"/>
      <c r="H11" s="31">
        <f>IF(E11="Yes",0,IF(E11="Half",C11/2,C11)+(1000-ROW())/100000)</f>
        <v>3.00989</v>
      </c>
    </row>
    <row r="12" spans="1:8" ht="28.8" x14ac:dyDescent="0.3">
      <c r="A12" s="32" t="s">
        <v>22</v>
      </c>
      <c r="B12" s="18" t="s">
        <v>23</v>
      </c>
      <c r="C12" s="33">
        <v>3</v>
      </c>
      <c r="D12" s="34" t="s">
        <v>13</v>
      </c>
      <c r="E12" s="35"/>
      <c r="F12" s="33">
        <f>IF(E12="Yes",C12,IF(E12="Half",C12/2,0))</f>
        <v>0</v>
      </c>
      <c r="G12" s="27"/>
      <c r="H12" s="31">
        <f>IF(E12="Yes",0,IF(E12="Half",C12/2,C12)+(1000-ROW())/100000)</f>
        <v>3.0098799999999999</v>
      </c>
    </row>
    <row r="13" spans="1:8" ht="28.8" x14ac:dyDescent="0.3">
      <c r="A13" s="32" t="s">
        <v>24</v>
      </c>
      <c r="B13" s="18" t="s">
        <v>25</v>
      </c>
      <c r="C13" s="33">
        <v>2</v>
      </c>
      <c r="D13" s="34"/>
      <c r="E13" s="35"/>
      <c r="F13" s="33">
        <f>IF(E13="Yes",C13,IF(E13="Half",C13/2,0))</f>
        <v>0</v>
      </c>
      <c r="G13" s="27"/>
      <c r="H13" s="31">
        <f>IF(E13="Yes",0,IF(E13="Half",C13/2,C13)+(1000-ROW())/100000)</f>
        <v>2.0098699999999998</v>
      </c>
    </row>
    <row r="14" spans="1:8" ht="28.8" x14ac:dyDescent="0.3">
      <c r="A14" s="32" t="s">
        <v>26</v>
      </c>
      <c r="B14" s="18" t="s">
        <v>27</v>
      </c>
      <c r="C14" s="33">
        <v>2</v>
      </c>
      <c r="D14" s="34"/>
      <c r="E14" s="35"/>
      <c r="F14" s="33">
        <f>IF(E14="Yes",C14,IF(E14="Half",C14/2,0))</f>
        <v>0</v>
      </c>
      <c r="G14" s="27"/>
      <c r="H14" s="31">
        <f>IF(E14="Yes",0,IF(E14="Half",C14/2,C14)+(1000-ROW())/100000)</f>
        <v>2.0098600000000002</v>
      </c>
    </row>
    <row r="15" spans="1:8" x14ac:dyDescent="0.3">
      <c r="A15" s="9" t="s">
        <v>28</v>
      </c>
      <c r="B15" s="9"/>
      <c r="C15" s="13">
        <v>14</v>
      </c>
      <c r="D15" s="13"/>
      <c r="E15" s="13"/>
      <c r="F15" s="13"/>
      <c r="G15" s="13" t="s">
        <v>29</v>
      </c>
    </row>
    <row r="16" spans="1:8" ht="28.8" x14ac:dyDescent="0.3">
      <c r="A16" s="32" t="s">
        <v>30</v>
      </c>
      <c r="B16" s="18" t="s">
        <v>31</v>
      </c>
      <c r="C16" s="33">
        <v>4</v>
      </c>
      <c r="D16" s="34"/>
      <c r="E16" s="35"/>
      <c r="F16" s="33">
        <f>IF(E16="Yes",C16,IF(E16="Half",C16/2,0))</f>
        <v>0</v>
      </c>
      <c r="G16" s="27"/>
      <c r="H16" s="31">
        <f>IF(E16="Yes",0,IF(E16="Half",C16/2,C16)+(1000-ROW())/100000)</f>
        <v>4.0098399999999996</v>
      </c>
    </row>
    <row r="17" spans="1:8" ht="28.8" x14ac:dyDescent="0.3">
      <c r="A17" s="32" t="s">
        <v>32</v>
      </c>
      <c r="B17" s="18" t="s">
        <v>33</v>
      </c>
      <c r="C17" s="33">
        <v>4</v>
      </c>
      <c r="D17" s="34" t="s">
        <v>13</v>
      </c>
      <c r="E17" s="35"/>
      <c r="F17" s="33">
        <f>IF(E17="Yes",C17,IF(E17="Half",C17/2,0))</f>
        <v>0</v>
      </c>
      <c r="G17" s="27"/>
      <c r="H17" s="31">
        <f>IF(E17="Yes",0,IF(E17="Half",C17/2,C17)+(1000-ROW())/100000)</f>
        <v>4.00983</v>
      </c>
    </row>
    <row r="18" spans="1:8" ht="43.2" x14ac:dyDescent="0.3">
      <c r="A18" s="32" t="s">
        <v>34</v>
      </c>
      <c r="B18" s="18" t="s">
        <v>35</v>
      </c>
      <c r="C18" s="33">
        <v>4</v>
      </c>
      <c r="D18" s="34" t="s">
        <v>13</v>
      </c>
      <c r="E18" s="35"/>
      <c r="F18" s="33">
        <f>IF(E18="Yes",C18,IF(E18="Half",C18/2,0))</f>
        <v>0</v>
      </c>
      <c r="G18" s="27"/>
      <c r="H18" s="31">
        <f>IF(E18="Yes",0,IF(E18="Half",C18/2,C18)+(1000-ROW())/100000)</f>
        <v>4.0098200000000004</v>
      </c>
    </row>
    <row r="19" spans="1:8" ht="28.8" x14ac:dyDescent="0.3">
      <c r="A19" s="32" t="s">
        <v>36</v>
      </c>
      <c r="B19" s="18" t="s">
        <v>37</v>
      </c>
      <c r="C19" s="33">
        <v>2</v>
      </c>
      <c r="D19" s="34"/>
      <c r="E19" s="35"/>
      <c r="F19" s="33">
        <f>IF(E19="Yes",C19,IF(E19="Half",C19/2,0))</f>
        <v>0</v>
      </c>
      <c r="G19" s="27"/>
      <c r="H19" s="31">
        <f>IF(E19="Yes",0,IF(E19="Half",C19/2,C19)+(1000-ROW())/100000)</f>
        <v>2.0098099999999999</v>
      </c>
    </row>
    <row r="20" spans="1:8" x14ac:dyDescent="0.3">
      <c r="A20" s="9" t="s">
        <v>38</v>
      </c>
      <c r="B20" s="9"/>
      <c r="C20" s="13">
        <v>12</v>
      </c>
      <c r="D20" s="13"/>
      <c r="E20" s="13"/>
      <c r="F20" s="13"/>
      <c r="G20" s="13" t="s">
        <v>39</v>
      </c>
    </row>
    <row r="21" spans="1:8" ht="28.8" x14ac:dyDescent="0.3">
      <c r="A21" s="32" t="s">
        <v>40</v>
      </c>
      <c r="B21" s="18" t="s">
        <v>41</v>
      </c>
      <c r="C21" s="33">
        <v>4</v>
      </c>
      <c r="D21" s="34" t="s">
        <v>13</v>
      </c>
      <c r="E21" s="35"/>
      <c r="F21" s="33">
        <f>IF(E21="Yes",C21,IF(E21="Half",C21/2,0))</f>
        <v>0</v>
      </c>
      <c r="G21" s="27"/>
      <c r="H21" s="31">
        <f>IF(E21="Yes",0,IF(E21="Half",C21/2,C21)+(1000-ROW())/100000)</f>
        <v>4.0097899999999997</v>
      </c>
    </row>
    <row r="22" spans="1:8" ht="43.2" x14ac:dyDescent="0.3">
      <c r="A22" s="32" t="s">
        <v>42</v>
      </c>
      <c r="B22" s="18" t="s">
        <v>43</v>
      </c>
      <c r="C22" s="33">
        <v>4</v>
      </c>
      <c r="D22" s="34" t="s">
        <v>13</v>
      </c>
      <c r="E22" s="35"/>
      <c r="F22" s="33">
        <f>IF(E22="Yes",C22,IF(E22="Half",C22/2,0))</f>
        <v>0</v>
      </c>
      <c r="G22" s="27"/>
      <c r="H22" s="31">
        <f>IF(E22="Yes",0,IF(E22="Half",C22/2,C22)+(1000-ROW())/100000)</f>
        <v>4.0097800000000001</v>
      </c>
    </row>
    <row r="23" spans="1:8" ht="28.8" x14ac:dyDescent="0.3">
      <c r="A23" s="32" t="s">
        <v>44</v>
      </c>
      <c r="B23" s="18" t="s">
        <v>45</v>
      </c>
      <c r="C23" s="33">
        <v>4</v>
      </c>
      <c r="D23" s="34"/>
      <c r="E23" s="35"/>
      <c r="F23" s="33">
        <f>IF(E23="Yes",C23,IF(E23="Half",C23/2,0))</f>
        <v>0</v>
      </c>
      <c r="G23" s="27"/>
      <c r="H23" s="31">
        <f>IF(E23="Yes",0,IF(E23="Half",C23/2,C23)+(1000-ROW())/100000)</f>
        <v>4.0097699999999996</v>
      </c>
    </row>
    <row r="24" spans="1:8" x14ac:dyDescent="0.3">
      <c r="A24" s="9" t="s">
        <v>46</v>
      </c>
      <c r="B24" s="9"/>
      <c r="C24" s="13">
        <v>24</v>
      </c>
      <c r="D24" s="13"/>
      <c r="E24" s="13"/>
      <c r="F24" s="13"/>
      <c r="G24" s="13" t="s">
        <v>47</v>
      </c>
    </row>
    <row r="25" spans="1:8" ht="28.8" x14ac:dyDescent="0.3">
      <c r="A25" s="32" t="s">
        <v>48</v>
      </c>
      <c r="B25" s="18" t="s">
        <v>49</v>
      </c>
      <c r="C25" s="33">
        <v>5</v>
      </c>
      <c r="D25" s="34"/>
      <c r="E25" s="35"/>
      <c r="F25" s="33">
        <f>IF(E25="Yes",C25,IF(E25="Half",C25/2,0))</f>
        <v>0</v>
      </c>
      <c r="G25" s="27"/>
      <c r="H25" s="31">
        <f>IF(E25="Yes",0,IF(E25="Half",C25/2,C25)+(1000-ROW())/100000)</f>
        <v>5.0097500000000004</v>
      </c>
    </row>
    <row r="26" spans="1:8" ht="28.8" x14ac:dyDescent="0.3">
      <c r="A26" s="32" t="s">
        <v>50</v>
      </c>
      <c r="B26" s="18" t="s">
        <v>51</v>
      </c>
      <c r="C26" s="33">
        <v>5</v>
      </c>
      <c r="D26" s="34"/>
      <c r="E26" s="35"/>
      <c r="F26" s="33">
        <f>IF(E26="Yes",C26,IF(E26="Half",C26/2,0))</f>
        <v>0</v>
      </c>
      <c r="G26" s="27"/>
      <c r="H26" s="31">
        <f>IF(E26="Yes",0,IF(E26="Half",C26/2,C26)+(1000-ROW())/100000)</f>
        <v>5.0097399999999999</v>
      </c>
    </row>
    <row r="27" spans="1:8" ht="28.8" x14ac:dyDescent="0.3">
      <c r="A27" s="32" t="s">
        <v>52</v>
      </c>
      <c r="B27" s="18" t="s">
        <v>53</v>
      </c>
      <c r="C27" s="33">
        <v>4</v>
      </c>
      <c r="D27" s="34"/>
      <c r="E27" s="35"/>
      <c r="F27" s="33">
        <f>IF(E27="Yes",C27,IF(E27="Half",C27/2,0))</f>
        <v>0</v>
      </c>
      <c r="G27" s="27"/>
      <c r="H27" s="31">
        <f>IF(E27="Yes",0,IF(E27="Half",C27/2,C27)+(1000-ROW())/100000)</f>
        <v>4.0097300000000002</v>
      </c>
    </row>
    <row r="28" spans="1:8" ht="28.8" x14ac:dyDescent="0.3">
      <c r="A28" s="32" t="s">
        <v>54</v>
      </c>
      <c r="B28" s="18" t="s">
        <v>55</v>
      </c>
      <c r="C28" s="33">
        <v>4</v>
      </c>
      <c r="D28" s="34"/>
      <c r="E28" s="35"/>
      <c r="F28" s="33">
        <f>IF(E28="Yes",C28,IF(E28="Half",C28/2,0))</f>
        <v>0</v>
      </c>
      <c r="G28" s="27"/>
      <c r="H28" s="31">
        <f>IF(E28="Yes",0,IF(E28="Half",C28/2,C28)+(1000-ROW())/100000)</f>
        <v>4.0097199999999997</v>
      </c>
    </row>
    <row r="29" spans="1:8" ht="43.2" x14ac:dyDescent="0.3">
      <c r="A29" s="32" t="s">
        <v>56</v>
      </c>
      <c r="B29" s="18" t="s">
        <v>57</v>
      </c>
      <c r="C29" s="33">
        <v>6</v>
      </c>
      <c r="D29" s="34" t="s">
        <v>13</v>
      </c>
      <c r="E29" s="35"/>
      <c r="F29" s="33">
        <f>IF(E29="Yes",C29,IF(E29="Half",C29/2,0))</f>
        <v>0</v>
      </c>
      <c r="G29" s="27"/>
      <c r="H29" s="31">
        <f>IF(E29="Yes",0,IF(E29="Half",C29/2,C29)+(1000-ROW())/100000)</f>
        <v>6.0097100000000001</v>
      </c>
    </row>
    <row r="30" spans="1:8" x14ac:dyDescent="0.3">
      <c r="A30" s="9" t="s">
        <v>58</v>
      </c>
      <c r="B30" s="9"/>
      <c r="C30" s="13">
        <v>14</v>
      </c>
      <c r="D30" s="13"/>
      <c r="E30" s="13"/>
      <c r="F30" s="13"/>
      <c r="G30" s="13" t="s">
        <v>59</v>
      </c>
    </row>
    <row r="31" spans="1:8" ht="43.2" x14ac:dyDescent="0.3">
      <c r="A31" s="32" t="s">
        <v>60</v>
      </c>
      <c r="B31" s="18" t="s">
        <v>61</v>
      </c>
      <c r="C31" s="33">
        <v>5</v>
      </c>
      <c r="D31" s="34" t="s">
        <v>13</v>
      </c>
      <c r="E31" s="35"/>
      <c r="F31" s="33">
        <f>IF(E31="Yes",C31,IF(E31="Half",C31/2,0))</f>
        <v>0</v>
      </c>
      <c r="G31" s="27"/>
      <c r="H31" s="31">
        <f>IF(E31="Yes",0,IF(E31="Half",C31/2,C31)+(1000-ROW())/100000)</f>
        <v>5.00969</v>
      </c>
    </row>
    <row r="32" spans="1:8" ht="28.8" x14ac:dyDescent="0.3">
      <c r="A32" s="32" t="s">
        <v>62</v>
      </c>
      <c r="B32" s="18" t="s">
        <v>63</v>
      </c>
      <c r="C32" s="33">
        <v>4</v>
      </c>
      <c r="D32" s="34"/>
      <c r="E32" s="35"/>
      <c r="F32" s="33">
        <f>IF(E32="Yes",C32,IF(E32="Half",C32/2,0))</f>
        <v>0</v>
      </c>
      <c r="G32" s="27"/>
      <c r="H32" s="31">
        <f>IF(E32="Yes",0,IF(E32="Half",C32/2,C32)+(1000-ROW())/100000)</f>
        <v>4.0096800000000004</v>
      </c>
    </row>
    <row r="33" spans="1:8" ht="28.8" x14ac:dyDescent="0.3">
      <c r="A33" s="32" t="s">
        <v>64</v>
      </c>
      <c r="B33" s="18" t="s">
        <v>65</v>
      </c>
      <c r="C33" s="33">
        <v>5</v>
      </c>
      <c r="D33" s="34" t="s">
        <v>13</v>
      </c>
      <c r="E33" s="35"/>
      <c r="F33" s="33">
        <f>IF(E33="Yes",C33,IF(E33="Half",C33/2,0))</f>
        <v>0</v>
      </c>
      <c r="G33" s="27"/>
      <c r="H33" s="31">
        <f>IF(E33="Yes",0,IF(E33="Half",C33/2,C33)+(1000-ROW())/100000)</f>
        <v>5.0096699999999998</v>
      </c>
    </row>
    <row r="34" spans="1:8" x14ac:dyDescent="0.3">
      <c r="A34" s="9" t="s">
        <v>66</v>
      </c>
      <c r="B34" s="9"/>
      <c r="C34" s="13">
        <v>16</v>
      </c>
      <c r="D34" s="13"/>
      <c r="E34" s="13"/>
      <c r="F34" s="13"/>
      <c r="G34" s="13" t="s">
        <v>67</v>
      </c>
    </row>
    <row r="35" spans="1:8" ht="28.8" x14ac:dyDescent="0.3">
      <c r="A35" s="32" t="s">
        <v>68</v>
      </c>
      <c r="B35" s="18" t="s">
        <v>69</v>
      </c>
      <c r="C35" s="33">
        <v>4</v>
      </c>
      <c r="D35" s="34"/>
      <c r="E35" s="35"/>
      <c r="F35" s="33">
        <f>IF(E35="Yes",C35,IF(E35="Half",C35/2,0))</f>
        <v>0</v>
      </c>
      <c r="G35" s="27"/>
      <c r="H35" s="31">
        <f>IF(E35="Yes",0,IF(E35="Half",C35/2,C35)+(1000-ROW())/100000)</f>
        <v>4.0096499999999997</v>
      </c>
    </row>
    <row r="36" spans="1:8" ht="28.8" x14ac:dyDescent="0.3">
      <c r="A36" s="32" t="s">
        <v>70</v>
      </c>
      <c r="B36" s="18" t="s">
        <v>71</v>
      </c>
      <c r="C36" s="33">
        <v>4</v>
      </c>
      <c r="D36" s="34" t="s">
        <v>13</v>
      </c>
      <c r="E36" s="35"/>
      <c r="F36" s="33">
        <f>IF(E36="Yes",C36,IF(E36="Half",C36/2,0))</f>
        <v>0</v>
      </c>
      <c r="G36" s="27"/>
      <c r="H36" s="31">
        <f>IF(E36="Yes",0,IF(E36="Half",C36/2,C36)+(1000-ROW())/100000)</f>
        <v>4.0096400000000001</v>
      </c>
    </row>
    <row r="37" spans="1:8" ht="28.8" x14ac:dyDescent="0.3">
      <c r="A37" s="32" t="s">
        <v>72</v>
      </c>
      <c r="B37" s="18" t="s">
        <v>73</v>
      </c>
      <c r="C37" s="33">
        <v>4</v>
      </c>
      <c r="D37" s="34" t="s">
        <v>13</v>
      </c>
      <c r="E37" s="35"/>
      <c r="F37" s="33">
        <f>IF(E37="Yes",C37,IF(E37="Half",C37/2,0))</f>
        <v>0</v>
      </c>
      <c r="G37" s="27"/>
      <c r="H37" s="31">
        <f>IF(E37="Yes",0,IF(E37="Half",C37/2,C37)+(1000-ROW())/100000)</f>
        <v>4.0096299999999996</v>
      </c>
    </row>
    <row r="38" spans="1:8" ht="43.2" x14ac:dyDescent="0.3">
      <c r="A38" s="32" t="s">
        <v>74</v>
      </c>
      <c r="B38" s="18" t="s">
        <v>75</v>
      </c>
      <c r="C38" s="33">
        <v>4</v>
      </c>
      <c r="D38" s="34" t="s">
        <v>13</v>
      </c>
      <c r="E38" s="35"/>
      <c r="F38" s="33">
        <f>IF(E38="Yes",C38,IF(E38="Half",C38/2,0))</f>
        <v>0</v>
      </c>
      <c r="G38" s="27"/>
      <c r="H38" s="31">
        <f>IF(E38="Yes",0,IF(E38="Half",C38/2,C38)+(1000-ROW())/100000)</f>
        <v>4.00962</v>
      </c>
    </row>
    <row r="39" spans="1:8" x14ac:dyDescent="0.3">
      <c r="A39" s="9" t="s">
        <v>76</v>
      </c>
      <c r="B39" s="9"/>
      <c r="C39" s="13">
        <v>10</v>
      </c>
      <c r="D39" s="13"/>
      <c r="E39" s="13"/>
      <c r="F39" s="13"/>
      <c r="G39" s="13" t="s">
        <v>77</v>
      </c>
    </row>
    <row r="40" spans="1:8" ht="28.8" x14ac:dyDescent="0.3">
      <c r="A40" s="32" t="s">
        <v>78</v>
      </c>
      <c r="B40" s="18" t="s">
        <v>79</v>
      </c>
      <c r="C40" s="33">
        <v>3</v>
      </c>
      <c r="D40" s="34"/>
      <c r="E40" s="35"/>
      <c r="F40" s="33">
        <f>IF(E40="Yes",C40,IF(E40="Half",C40/2,0))</f>
        <v>0</v>
      </c>
      <c r="G40" s="27"/>
      <c r="H40" s="31">
        <f>IF(E40="Yes",0,IF(E40="Half",C40/2,C40)+(1000-ROW())/100000)</f>
        <v>3.0095999999999998</v>
      </c>
    </row>
    <row r="41" spans="1:8" ht="43.2" x14ac:dyDescent="0.3">
      <c r="A41" s="32" t="s">
        <v>80</v>
      </c>
      <c r="B41" s="18" t="s">
        <v>81</v>
      </c>
      <c r="C41" s="33">
        <v>3</v>
      </c>
      <c r="D41" s="34"/>
      <c r="E41" s="35"/>
      <c r="F41" s="33">
        <f>IF(E41="Yes",C41,IF(E41="Half",C41/2,0))</f>
        <v>0</v>
      </c>
      <c r="G41" s="27"/>
      <c r="H41" s="31">
        <f>IF(E41="Yes",0,IF(E41="Half",C41/2,C41)+(1000-ROW())/100000)</f>
        <v>3.0095900000000002</v>
      </c>
    </row>
    <row r="42" spans="1:8" ht="43.2" x14ac:dyDescent="0.3">
      <c r="A42" s="32" t="s">
        <v>82</v>
      </c>
      <c r="B42" s="18" t="s">
        <v>83</v>
      </c>
      <c r="C42" s="33">
        <v>4</v>
      </c>
      <c r="D42" s="34" t="s">
        <v>13</v>
      </c>
      <c r="E42" s="35"/>
      <c r="F42" s="33">
        <f>IF(E42="Yes",C42,IF(E42="Half",C42/2,0))</f>
        <v>0</v>
      </c>
      <c r="G42" s="27"/>
      <c r="H42" s="31">
        <f>IF(E42="Yes",0,IF(E42="Half",C42/2,C42)+(1000-ROW())/100000)</f>
        <v>4.0095799999999997</v>
      </c>
    </row>
    <row r="44" spans="1:8" x14ac:dyDescent="0.3">
      <c r="A44" s="28" t="s">
        <v>84</v>
      </c>
      <c r="B44" s="28"/>
      <c r="C44" s="8" t="str">
        <f>IF(OR(E4="",E5="",E6=""),"Fill length, same-day and audible",IF(AND(E4&gt;=5,E4&lt;=15,E5="Yes",E6="Yes"),"YES","NO — not accepted"))</f>
        <v>Fill length, same-day and audible</v>
      </c>
      <c r="D44" s="8"/>
      <c r="E44" s="8"/>
      <c r="F44" s="8"/>
      <c r="G44" s="8"/>
    </row>
    <row r="45" spans="1:8" x14ac:dyDescent="0.3">
      <c r="A45" s="28" t="s">
        <v>85</v>
      </c>
      <c r="B45" s="28"/>
      <c r="C45" s="8">
        <v>100</v>
      </c>
      <c r="D45" s="8"/>
      <c r="E45" s="8"/>
      <c r="F45" s="8"/>
      <c r="G45" s="8"/>
    </row>
    <row r="46" spans="1:8" x14ac:dyDescent="0.3">
      <c r="A46" s="28" t="s">
        <v>86</v>
      </c>
      <c r="B46" s="28"/>
      <c r="C46" s="8">
        <f>SUM(F11:F42)</f>
        <v>0</v>
      </c>
      <c r="D46" s="8"/>
      <c r="E46" s="8"/>
      <c r="F46" s="8"/>
      <c r="G46" s="8"/>
    </row>
    <row r="47" spans="1:8" ht="18" x14ac:dyDescent="0.3">
      <c r="A47" s="28" t="s">
        <v>87</v>
      </c>
      <c r="B47" s="28"/>
      <c r="C47" s="7">
        <f>ROUND(C46/C45*100,0)</f>
        <v>0</v>
      </c>
      <c r="D47" s="7"/>
      <c r="E47" s="7"/>
      <c r="F47" s="7"/>
      <c r="G47" s="7"/>
    </row>
    <row r="48" spans="1:8" x14ac:dyDescent="0.3">
      <c r="A48" s="28" t="s">
        <v>88</v>
      </c>
      <c r="B48" s="28"/>
      <c r="C48" s="8">
        <f>IF(E11&lt;&gt;"Yes",1,0)+IF(E12&lt;&gt;"Yes",1,0)+IF(E17&lt;&gt;"Yes",1,0)+IF(E18&lt;&gt;"Yes",1,0)+IF(E21&lt;&gt;"Yes",1,0)+IF(E22&lt;&gt;"Yes",1,0)+IF(E29&lt;&gt;"Yes",1,0)+IF(E31&lt;&gt;"Yes",1,0)+IF(E33&lt;&gt;"Yes",1,0)+IF(E36&lt;&gt;"Yes",1,0)+IF(E37&lt;&gt;"Yes",1,0)+IF(E38&lt;&gt;"Yes",1,0)+IF(E42&lt;&gt;"Yes",1,0)</f>
        <v>13</v>
      </c>
      <c r="D48" s="8"/>
      <c r="E48" s="8"/>
      <c r="F48" s="8"/>
      <c r="G48" s="8"/>
    </row>
    <row r="49" spans="1:7" x14ac:dyDescent="0.3">
      <c r="A49" s="28" t="s">
        <v>89</v>
      </c>
      <c r="B49" s="28"/>
      <c r="C49" s="8" t="str">
        <f>IF(C48=0,"None",_xlfn.TEXTJOIN(", ",TRUE(),IF(E11&lt;&gt;"Yes",A11,""),IF(E12&lt;&gt;"Yes",A12,""),IF(E17&lt;&gt;"Yes",A17,""),IF(E18&lt;&gt;"Yes",A18,""),IF(E21&lt;&gt;"Yes",A21,""),IF(E22&lt;&gt;"Yes",A22,""),IF(E29&lt;&gt;"Yes",A29,""),IF(E31&lt;&gt;"Yes",A31,""),IF(E33&lt;&gt;"Yes",A33,""),IF(E36&lt;&gt;"Yes",A36,""),IF(E37&lt;&gt;"Yes",A37,""),IF(E38&lt;&gt;"Yes",A38,""),IF(E42&lt;&gt;"Yes",A42,"")))</f>
        <v>A1, A2, B2, B3, C1, C2, D5, E1, E3, F2, F3, F4, G3</v>
      </c>
      <c r="D49" s="8"/>
      <c r="E49" s="8"/>
      <c r="F49" s="8"/>
      <c r="G49" s="8"/>
    </row>
    <row r="50" spans="1:7" ht="31.8" customHeight="1" x14ac:dyDescent="0.3">
      <c r="A50" s="28" t="s">
        <v>90</v>
      </c>
      <c r="B50" s="28"/>
      <c r="C50" s="6" t="str">
        <f>IF(C44&lt;&gt;"YES","NOT ACCEPTED — recording under 5 min / over 15 min / not uploaded same day / not audible. Call again.",IF(C48&gt;0,"NOT ACCEPTED — MUST item(s) missed: "&amp;C49&amp;". Call the customer again for the missed points.",IF(C47&gt;=90,"EXCELLENT — accepted. Score "&amp;C47&amp;"/100.",IF(C47&gt;=75,"ACCEPTED — Score "&amp;C47&amp;"/100. See My Result for what to do better.","NOT ACCEPTED — Score "&amp;C47&amp;"/100 is below 75. Call the customer again for the missed points."))))</f>
        <v>NOT ACCEPTED — recording under 5 min / over 15 min / not uploaded same day / not audible. Call again.</v>
      </c>
      <c r="D50" s="6"/>
      <c r="E50" s="6"/>
      <c r="F50" s="6"/>
      <c r="G50" s="6"/>
    </row>
  </sheetData>
  <mergeCells count="31">
    <mergeCell ref="A49:B49"/>
    <mergeCell ref="C49:G49"/>
    <mergeCell ref="A50:B50"/>
    <mergeCell ref="C50:G50"/>
    <mergeCell ref="A46:B46"/>
    <mergeCell ref="C46:G46"/>
    <mergeCell ref="A47:B47"/>
    <mergeCell ref="C47:G47"/>
    <mergeCell ref="A48:B48"/>
    <mergeCell ref="C48:G48"/>
    <mergeCell ref="A39:B39"/>
    <mergeCell ref="A44:B44"/>
    <mergeCell ref="C44:G44"/>
    <mergeCell ref="A45:B45"/>
    <mergeCell ref="C45:G45"/>
    <mergeCell ref="A15:B15"/>
    <mergeCell ref="A20:B20"/>
    <mergeCell ref="A24:B24"/>
    <mergeCell ref="A30:B30"/>
    <mergeCell ref="A34:B34"/>
    <mergeCell ref="C6:D6"/>
    <mergeCell ref="E6:G6"/>
    <mergeCell ref="C7:D7"/>
    <mergeCell ref="E7:G7"/>
    <mergeCell ref="A10:B10"/>
    <mergeCell ref="A1:G1"/>
    <mergeCell ref="A2:G2"/>
    <mergeCell ref="C4:D4"/>
    <mergeCell ref="E4:G4"/>
    <mergeCell ref="C5:D5"/>
    <mergeCell ref="E5:G5"/>
  </mergeCells>
  <conditionalFormatting sqref="C50">
    <cfRule type="expression" dxfId="11" priority="2">
      <formula>LEFT(C50,3)="NOT"</formula>
    </cfRule>
    <cfRule type="expression" dxfId="10" priority="3">
      <formula>LEFT(C50,3)&lt;&gt;"NOT"</formula>
    </cfRule>
  </conditionalFormatting>
  <conditionalFormatting sqref="E11:E42">
    <cfRule type="cellIs" dxfId="9" priority="4" operator="equal">
      <formula>"No"</formula>
    </cfRule>
    <cfRule type="cellIs" dxfId="8" priority="5" operator="equal">
      <formula>"Half"</formula>
    </cfRule>
    <cfRule type="cellIs" dxfId="7" priority="6" operator="equal">
      <formula>"Yes"</formula>
    </cfRule>
  </conditionalFormatting>
  <dataValidations count="2">
    <dataValidation type="list" allowBlank="1" sqref="E5:E6" xr:uid="{00000000-0002-0000-0000-000000000000}">
      <formula1>"Yes,No"</formula1>
      <formula2>0</formula2>
    </dataValidation>
    <dataValidation type="list" allowBlank="1" sqref="E11:E14 E16:E19 E21:E23 E25:E29 E31:E33 E35:E38 E40:E42" xr:uid="{00000000-0002-0000-0000-000001000000}">
      <formula1>"Yes,Half,No"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496"/>
    <pageSetUpPr fitToPage="1"/>
  </sheetPr>
  <dimension ref="A1:F63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7" customWidth="1"/>
    <col min="2" max="2" width="70" customWidth="1"/>
    <col min="3" max="4" width="9" customWidth="1"/>
    <col min="5" max="5" width="12" customWidth="1"/>
    <col min="6" max="6" width="47.88671875" customWidth="1"/>
  </cols>
  <sheetData>
    <row r="1" spans="1:6" ht="25.5" customHeight="1" x14ac:dyDescent="0.3">
      <c r="A1" s="5" t="s">
        <v>91</v>
      </c>
      <c r="B1" s="5"/>
      <c r="C1" s="5"/>
      <c r="D1" s="5"/>
      <c r="E1" s="5"/>
      <c r="F1" s="5"/>
    </row>
    <row r="2" spans="1:6" ht="24" customHeight="1" x14ac:dyDescent="0.3">
      <c r="A2" s="11" t="s">
        <v>92</v>
      </c>
      <c r="B2" s="11"/>
      <c r="C2" s="11"/>
      <c r="D2" s="11"/>
      <c r="E2" s="11"/>
      <c r="F2" s="11"/>
    </row>
    <row r="4" spans="1:6" ht="15" customHeight="1" x14ac:dyDescent="0.3">
      <c r="A4" s="10" t="s">
        <v>93</v>
      </c>
      <c r="B4" s="10"/>
      <c r="C4" s="4">
        <f>Scorecard!B6</f>
        <v>0</v>
      </c>
      <c r="D4" s="4"/>
      <c r="E4" s="4"/>
      <c r="F4" s="4"/>
    </row>
    <row r="5" spans="1:6" ht="15" customHeight="1" x14ac:dyDescent="0.3">
      <c r="A5" s="10" t="s">
        <v>94</v>
      </c>
      <c r="B5" s="10"/>
      <c r="C5" s="4">
        <f>Scorecard!B5</f>
        <v>0</v>
      </c>
      <c r="D5" s="4"/>
      <c r="E5" s="4"/>
      <c r="F5" s="4"/>
    </row>
    <row r="6" spans="1:6" ht="15" customHeight="1" x14ac:dyDescent="0.3">
      <c r="A6" s="10" t="s">
        <v>2</v>
      </c>
      <c r="B6" s="10"/>
      <c r="C6" s="4">
        <f>Scorecard!B4</f>
        <v>0</v>
      </c>
      <c r="D6" s="4"/>
      <c r="E6" s="4"/>
      <c r="F6" s="4"/>
    </row>
    <row r="7" spans="1:6" ht="15" customHeight="1" x14ac:dyDescent="0.3">
      <c r="A7" s="10" t="s">
        <v>95</v>
      </c>
      <c r="B7" s="10"/>
      <c r="C7" s="4">
        <f>Scorecard!B7</f>
        <v>0</v>
      </c>
      <c r="D7" s="4"/>
      <c r="E7" s="4"/>
      <c r="F7" s="4"/>
    </row>
    <row r="8" spans="1:6" ht="15" customHeight="1" x14ac:dyDescent="0.3">
      <c r="A8" s="10" t="s">
        <v>96</v>
      </c>
      <c r="B8" s="10"/>
      <c r="C8" s="3">
        <f>Scorecard!E4</f>
        <v>0</v>
      </c>
      <c r="D8" s="3"/>
      <c r="E8" s="3"/>
      <c r="F8" s="3"/>
    </row>
    <row r="10" spans="1:6" ht="33.75" customHeight="1" x14ac:dyDescent="0.3">
      <c r="A10" s="2" t="s">
        <v>97</v>
      </c>
      <c r="B10" s="2"/>
      <c r="C10" s="1" t="str">
        <f>Scorecard!C47&amp;" / 100"</f>
        <v>0 / 100</v>
      </c>
      <c r="D10" s="1"/>
      <c r="E10" s="1"/>
      <c r="F10" s="1"/>
    </row>
    <row r="11" spans="1:6" ht="39.75" customHeight="1" x14ac:dyDescent="0.3">
      <c r="A11" s="2" t="s">
        <v>90</v>
      </c>
      <c r="B11" s="2"/>
      <c r="C11" s="8" t="str">
        <f>Scorecard!C50</f>
        <v>NOT ACCEPTED — recording under 5 min / over 15 min / not uploaded same day / not audible. Call again.</v>
      </c>
      <c r="D11" s="8"/>
      <c r="E11" s="8"/>
      <c r="F11" s="8"/>
    </row>
    <row r="12" spans="1:6" ht="15" customHeight="1" x14ac:dyDescent="0.3">
      <c r="A12" s="11" t="s">
        <v>98</v>
      </c>
      <c r="B12" s="11"/>
      <c r="C12" s="11"/>
      <c r="D12" s="11"/>
      <c r="E12" s="11"/>
      <c r="F12" s="11"/>
    </row>
    <row r="14" spans="1:6" x14ac:dyDescent="0.3">
      <c r="A14" s="12"/>
      <c r="B14" s="12" t="s">
        <v>99</v>
      </c>
      <c r="C14" s="12" t="s">
        <v>12</v>
      </c>
      <c r="D14" s="12" t="s">
        <v>100</v>
      </c>
      <c r="E14" s="12" t="s">
        <v>101</v>
      </c>
      <c r="F14" s="12" t="s">
        <v>102</v>
      </c>
    </row>
    <row r="15" spans="1:6" x14ac:dyDescent="0.3">
      <c r="A15" s="14" t="s">
        <v>103</v>
      </c>
      <c r="B15" s="15" t="s">
        <v>104</v>
      </c>
      <c r="C15" s="16">
        <v>10</v>
      </c>
      <c r="D15" s="16">
        <f>SUM(Scorecard!F11:F14)</f>
        <v>0</v>
      </c>
      <c r="E15" s="16" t="str">
        <f t="shared" ref="E15:E21" si="0">ROUND(D15/C15*100,0)&amp;"%"</f>
        <v>0%</v>
      </c>
      <c r="F15" s="15" t="str">
        <f t="shared" ref="F15:F21" si="1">IF(D15=C15,"Fully covered",IF(D15&gt;=C15*0.75,"Good — small gaps",IF(D15&gt;=C15*0.5,"Weak — see items below","Mostly missed — see items below")))</f>
        <v>Mostly missed — see items below</v>
      </c>
    </row>
    <row r="16" spans="1:6" x14ac:dyDescent="0.3">
      <c r="A16" s="14" t="s">
        <v>105</v>
      </c>
      <c r="B16" s="15" t="s">
        <v>106</v>
      </c>
      <c r="C16" s="16">
        <v>14</v>
      </c>
      <c r="D16" s="16">
        <f>SUM(Scorecard!F16:F19)</f>
        <v>0</v>
      </c>
      <c r="E16" s="16" t="str">
        <f t="shared" si="0"/>
        <v>0%</v>
      </c>
      <c r="F16" s="15" t="str">
        <f t="shared" si="1"/>
        <v>Mostly missed — see items below</v>
      </c>
    </row>
    <row r="17" spans="1:6" x14ac:dyDescent="0.3">
      <c r="A17" s="14" t="s">
        <v>107</v>
      </c>
      <c r="B17" s="15" t="s">
        <v>108</v>
      </c>
      <c r="C17" s="16">
        <v>12</v>
      </c>
      <c r="D17" s="16">
        <f>SUM(Scorecard!F21:F23)</f>
        <v>0</v>
      </c>
      <c r="E17" s="16" t="str">
        <f t="shared" si="0"/>
        <v>0%</v>
      </c>
      <c r="F17" s="15" t="str">
        <f t="shared" si="1"/>
        <v>Mostly missed — see items below</v>
      </c>
    </row>
    <row r="18" spans="1:6" x14ac:dyDescent="0.3">
      <c r="A18" s="14" t="s">
        <v>109</v>
      </c>
      <c r="B18" s="15" t="s">
        <v>110</v>
      </c>
      <c r="C18" s="16">
        <v>24</v>
      </c>
      <c r="D18" s="16">
        <f>SUM(Scorecard!F25:F29)</f>
        <v>0</v>
      </c>
      <c r="E18" s="16" t="str">
        <f t="shared" si="0"/>
        <v>0%</v>
      </c>
      <c r="F18" s="15" t="str">
        <f t="shared" si="1"/>
        <v>Mostly missed — see items below</v>
      </c>
    </row>
    <row r="19" spans="1:6" x14ac:dyDescent="0.3">
      <c r="A19" s="14" t="s">
        <v>111</v>
      </c>
      <c r="B19" s="15" t="s">
        <v>112</v>
      </c>
      <c r="C19" s="16">
        <v>14</v>
      </c>
      <c r="D19" s="16">
        <f>SUM(Scorecard!F31:F33)</f>
        <v>0</v>
      </c>
      <c r="E19" s="16" t="str">
        <f t="shared" si="0"/>
        <v>0%</v>
      </c>
      <c r="F19" s="15" t="str">
        <f t="shared" si="1"/>
        <v>Mostly missed — see items below</v>
      </c>
    </row>
    <row r="20" spans="1:6" x14ac:dyDescent="0.3">
      <c r="A20" s="14" t="s">
        <v>113</v>
      </c>
      <c r="B20" s="15" t="s">
        <v>114</v>
      </c>
      <c r="C20" s="16">
        <v>16</v>
      </c>
      <c r="D20" s="16">
        <f>SUM(Scorecard!F35:F38)</f>
        <v>0</v>
      </c>
      <c r="E20" s="16" t="str">
        <f t="shared" si="0"/>
        <v>0%</v>
      </c>
      <c r="F20" s="15" t="str">
        <f t="shared" si="1"/>
        <v>Mostly missed — see items below</v>
      </c>
    </row>
    <row r="21" spans="1:6" x14ac:dyDescent="0.3">
      <c r="A21" s="14" t="s">
        <v>115</v>
      </c>
      <c r="B21" s="15" t="s">
        <v>116</v>
      </c>
      <c r="C21" s="16">
        <v>10</v>
      </c>
      <c r="D21" s="16">
        <f>SUM(Scorecard!F40:F42)</f>
        <v>0</v>
      </c>
      <c r="E21" s="16" t="str">
        <f t="shared" si="0"/>
        <v>0%</v>
      </c>
      <c r="F21" s="15" t="str">
        <f t="shared" si="1"/>
        <v>Mostly missed — see items below</v>
      </c>
    </row>
    <row r="23" spans="1:6" ht="19.5" customHeight="1" x14ac:dyDescent="0.3">
      <c r="A23" s="20" t="s">
        <v>117</v>
      </c>
      <c r="B23" s="20"/>
      <c r="C23" s="20"/>
      <c r="D23" s="20"/>
      <c r="E23" s="20"/>
      <c r="F23" s="20"/>
    </row>
    <row r="24" spans="1:6" ht="43.5" customHeight="1" x14ac:dyDescent="0.3">
      <c r="A24" s="14">
        <v>1</v>
      </c>
      <c r="B24" s="21" t="str">
        <f>IF(LARGE(Scorecard!$H$11:$H$42,1)&lt;0.5,"—",INDEX(Scorecard!$A$11:$A$42,MATCH(LARGE(Scorecard!$H$11:$H$42,1),Scorecard!$H$11:$H$42,0))&amp;" — "&amp;INDEX(Scorecard!$B$11:$B$42,MATCH(LARGE(Scorecard!$H$11:$H$42,1),Scorecard!$H$11:$H$42,0)))</f>
        <v>D5 — SUFFICIENCY VIEW — say it on record: total household income (excluding agri) at least Rs. 30,000/month and one earner at least Rs. 15,000/month? Is the income from ALL sources sufficient for the LAP amount asked? Yes / No, and why.</v>
      </c>
      <c r="C24" s="21"/>
      <c r="D24" s="21"/>
      <c r="E24" s="21"/>
      <c r="F24" s="19" t="str">
        <f>IF(LARGE(Scorecard!$H$11:$H$42,1)&lt;0.5,"","Points lost: "&amp;ROUND(LARGE(Scorecard!$H$11:$H$42,1),1))</f>
        <v>Points lost: 6</v>
      </c>
    </row>
    <row r="25" spans="1:6" ht="43.5" customHeight="1" x14ac:dyDescent="0.3">
      <c r="A25" s="14">
        <v>2</v>
      </c>
      <c r="B25" s="21" t="str">
        <f>IF(LARGE(Scorecard!$H$11:$H$42,2)&lt;0.5,"—",INDEX(Scorecard!$A$11:$A$42,MATCH(LARGE(Scorecard!$H$11:$H$42,2),Scorecard!$H$11:$H$42,0))&amp;" — "&amp;INDEX(Scorecard!$B$11:$B$42,MATCH(LARGE(Scorecard!$H$11:$H$42,2),Scorecard!$H$11:$H$42,0)))</f>
        <v>D1 — PRIMARY BUSINESS: what, where, since when, who runs it. Average DAILY sales / income and MONTHLY income — in the customer's own figures.</v>
      </c>
      <c r="C25" s="21"/>
      <c r="D25" s="21"/>
      <c r="E25" s="21"/>
      <c r="F25" s="19" t="str">
        <f>IF(LARGE(Scorecard!$H$11:$H$42,2)&lt;0.5,"","Points lost: "&amp;ROUND(LARGE(Scorecard!$H$11:$H$42,2),1))</f>
        <v>Points lost: 5</v>
      </c>
    </row>
    <row r="26" spans="1:6" ht="43.5" customHeight="1" x14ac:dyDescent="0.3">
      <c r="A26" s="14">
        <v>3</v>
      </c>
      <c r="B26" s="21" t="str">
        <f>IF(LARGE(Scorecard!$H$11:$H$42,3)&lt;0.5,"—",INDEX(Scorecard!$A$11:$A$42,MATCH(LARGE(Scorecard!$H$11:$H$42,3),Scorecard!$H$11:$H$42,0))&amp;" — "&amp;INDEX(Scorecard!$B$11:$B$42,MATCH(LARGE(Scorecard!$H$11:$H$42,3),Scorecard!$H$11:$H$42,0)))</f>
        <v>D2 — OTHER BUSINESSES run by the borrower or co-borrowers — each one with its average daily and monthly income.</v>
      </c>
      <c r="C26" s="21"/>
      <c r="D26" s="21"/>
      <c r="E26" s="21"/>
      <c r="F26" s="19" t="str">
        <f>IF(LARGE(Scorecard!$H$11:$H$42,3)&lt;0.5,"","Points lost: "&amp;ROUND(LARGE(Scorecard!$H$11:$H$42,3),1))</f>
        <v>Points lost: 5</v>
      </c>
    </row>
    <row r="28" spans="1:6" x14ac:dyDescent="0.3">
      <c r="A28" s="12" t="s">
        <v>10</v>
      </c>
      <c r="B28" s="12" t="s">
        <v>118</v>
      </c>
      <c r="C28" s="12" t="s">
        <v>12</v>
      </c>
      <c r="D28" s="12" t="s">
        <v>100</v>
      </c>
      <c r="E28" s="12" t="s">
        <v>119</v>
      </c>
      <c r="F28" s="12" t="s">
        <v>120</v>
      </c>
    </row>
    <row r="29" spans="1:6" ht="15" customHeight="1" x14ac:dyDescent="0.3">
      <c r="A29" s="22" t="s">
        <v>18</v>
      </c>
      <c r="B29" s="22"/>
      <c r="C29" s="22"/>
      <c r="D29" s="22"/>
      <c r="E29" s="22"/>
      <c r="F29" s="22"/>
    </row>
    <row r="30" spans="1:6" ht="48" customHeight="1" x14ac:dyDescent="0.3">
      <c r="A30" s="17" t="s">
        <v>121</v>
      </c>
      <c r="B30" s="15" t="str">
        <f>Scorecard!B11</f>
        <v>Say at the start: "Yeh call record ho rahi hai, aapke loan verification ke liye." Then state Application ID, customer name and village/town.</v>
      </c>
      <c r="C30" s="16">
        <f>Scorecard!C11</f>
        <v>3</v>
      </c>
      <c r="D30" s="16">
        <f>Scorecard!F11</f>
        <v>0</v>
      </c>
      <c r="E30" s="14" t="str">
        <f>IF(Scorecard!E11="Yes","✔ Asked",IF(Scorecard!E11="Half","½ Half",IF(Scorecard!E11="No","✘ MISSED","?")))</f>
        <v>?</v>
      </c>
      <c r="F30" s="15" t="str">
        <f>IF(Scorecard!G11="","",Scorecard!G11)</f>
        <v/>
      </c>
    </row>
    <row r="31" spans="1:6" ht="63.75" customHeight="1" x14ac:dyDescent="0.3">
      <c r="A31" s="17" t="s">
        <v>122</v>
      </c>
      <c r="B31" s="15" t="str">
        <f>Scorecard!B12</f>
        <v>Confirm you are talking to the MAIN BORROWER himself / herself — full name, this is his own number (on video: face matches the KYC photo). Not a relative, agent or anyone else.</v>
      </c>
      <c r="C31" s="16">
        <f>Scorecard!C12</f>
        <v>3</v>
      </c>
      <c r="D31" s="16">
        <f>Scorecard!F12</f>
        <v>0</v>
      </c>
      <c r="E31" s="14" t="str">
        <f>IF(Scorecard!E12="Yes","✔ Asked",IF(Scorecard!E12="Half","½ Half",IF(Scorecard!E12="No","✘ MISSED","?")))</f>
        <v>?</v>
      </c>
      <c r="F31" s="15" t="str">
        <f>IF(Scorecard!G12="","",Scorecard!G12)</f>
        <v/>
      </c>
    </row>
    <row r="32" spans="1:6" ht="48" customHeight="1" x14ac:dyDescent="0.3">
      <c r="A32" s="14" t="s">
        <v>24</v>
      </c>
      <c r="B32" s="15" t="str">
        <f>Scorecard!B13</f>
        <v>Customer confirms a loan file has been logged with Prodigee Finance — without you telling him the details first.</v>
      </c>
      <c r="C32" s="16">
        <f>Scorecard!C13</f>
        <v>2</v>
      </c>
      <c r="D32" s="16">
        <f>Scorecard!F13</f>
        <v>0</v>
      </c>
      <c r="E32" s="14" t="str">
        <f>IF(Scorecard!E13="Yes","✔ Asked",IF(Scorecard!E13="Half","½ Half",IF(Scorecard!E13="No","✘ MISSED","?")))</f>
        <v>?</v>
      </c>
      <c r="F32" s="15" t="str">
        <f>IF(Scorecard!G13="","",Scorecard!G13)</f>
        <v/>
      </c>
    </row>
    <row r="33" spans="1:6" ht="63.75" customHeight="1" x14ac:dyDescent="0.3">
      <c r="A33" s="14" t="s">
        <v>26</v>
      </c>
      <c r="B33" s="15" t="str">
        <f>Scorecard!B14</f>
        <v>Say that you have seen the BPS score, the business photos and the application before calling. Speak in the language the customer is comfortable in; both sides clearly audible.</v>
      </c>
      <c r="C33" s="16">
        <f>Scorecard!C14</f>
        <v>2</v>
      </c>
      <c r="D33" s="16">
        <f>Scorecard!F14</f>
        <v>0</v>
      </c>
      <c r="E33" s="14" t="str">
        <f>IF(Scorecard!E14="Yes","✔ Asked",IF(Scorecard!E14="Half","½ Half",IF(Scorecard!E14="No","✘ MISSED","?")))</f>
        <v>?</v>
      </c>
      <c r="F33" s="15" t="str">
        <f>IF(Scorecard!G14="","",Scorecard!G14)</f>
        <v/>
      </c>
    </row>
    <row r="34" spans="1:6" ht="15" customHeight="1" x14ac:dyDescent="0.3">
      <c r="A34" s="22" t="s">
        <v>28</v>
      </c>
      <c r="B34" s="22"/>
      <c r="C34" s="22"/>
      <c r="D34" s="22"/>
      <c r="E34" s="22"/>
      <c r="F34" s="22"/>
    </row>
    <row r="35" spans="1:6" ht="48" customHeight="1" x14ac:dyDescent="0.3">
      <c r="A35" s="14" t="s">
        <v>30</v>
      </c>
      <c r="B35" s="15" t="str">
        <f>Scorecard!B16</f>
        <v>Who came for the login — the RM's NAME; did he visit the business and the home; what did he see. Must match the sourcing record on PRAGATI.</v>
      </c>
      <c r="C35" s="16">
        <f>Scorecard!C16</f>
        <v>4</v>
      </c>
      <c r="D35" s="16">
        <f>Scorecard!F16</f>
        <v>0</v>
      </c>
      <c r="E35" s="14" t="str">
        <f>IF(Scorecard!E16="Yes","✔ Asked",IF(Scorecard!E16="Half","½ Half",IF(Scorecard!E16="No","✘ MISSED","?")))</f>
        <v>?</v>
      </c>
      <c r="F35" s="15" t="str">
        <f>IF(Scorecard!G16="","",Scorecard!G16)</f>
        <v/>
      </c>
    </row>
    <row r="36" spans="1:6" ht="48" customHeight="1" x14ac:dyDescent="0.3">
      <c r="A36" s="17" t="s">
        <v>123</v>
      </c>
      <c r="B36" s="15" t="str">
        <f>Scorecard!B17</f>
        <v>LOGIN FEE: how much was collected, by WHOM (must be the Prodigee RM himself), and was a receipt given. Amount must match PRAGATI.</v>
      </c>
      <c r="C36" s="16">
        <f>Scorecard!C17</f>
        <v>4</v>
      </c>
      <c r="D36" s="16">
        <f>Scorecard!F17</f>
        <v>0</v>
      </c>
      <c r="E36" s="14" t="str">
        <f>IF(Scorecard!E17="Yes","✔ Asked",IF(Scorecard!E17="Half","½ Half",IF(Scorecard!E17="No","✘ MISSED","?")))</f>
        <v>?</v>
      </c>
      <c r="F36" s="15" t="str">
        <f>IF(Scorecard!G17="","",Scorecard!G17)</f>
        <v/>
      </c>
    </row>
    <row r="37" spans="1:6" ht="63.75" customHeight="1" x14ac:dyDescent="0.3">
      <c r="A37" s="17" t="s">
        <v>124</v>
      </c>
      <c r="B37" s="15" t="str">
        <f>Scorecard!B18</f>
        <v>Ask directly: any agent, broker, DSA or connector in between? Did ANYONE ask for commission, fees or money for this loan? Tell the customer: Prodigee has ZERO COMMISSION — pay nobody.</v>
      </c>
      <c r="C37" s="16">
        <f>Scorecard!C18</f>
        <v>4</v>
      </c>
      <c r="D37" s="16">
        <f>Scorecard!F18</f>
        <v>0</v>
      </c>
      <c r="E37" s="14" t="str">
        <f>IF(Scorecard!E18="Yes","✔ Asked",IF(Scorecard!E18="Half","½ Half",IF(Scorecard!E18="No","✘ MISSED","?")))</f>
        <v>?</v>
      </c>
      <c r="F37" s="15" t="str">
        <f>IF(Scorecard!G18="","",Scorecard!G18)</f>
        <v/>
      </c>
    </row>
    <row r="38" spans="1:6" ht="48" customHeight="1" x14ac:dyDescent="0.3">
      <c r="A38" s="14" t="s">
        <v>36</v>
      </c>
      <c r="B38" s="15" t="str">
        <f>Scorecard!B19</f>
        <v>How the customer reached Prodigee (walk-in / reference / RM visit) — consistent with the sourcing channel on PRAGATI.</v>
      </c>
      <c r="C38" s="16">
        <f>Scorecard!C19</f>
        <v>2</v>
      </c>
      <c r="D38" s="16">
        <f>Scorecard!F19</f>
        <v>0</v>
      </c>
      <c r="E38" s="14" t="str">
        <f>IF(Scorecard!E19="Yes","✔ Asked",IF(Scorecard!E19="Half","½ Half",IF(Scorecard!E19="No","✘ MISSED","?")))</f>
        <v>?</v>
      </c>
      <c r="F38" s="15" t="str">
        <f>IF(Scorecard!G19="","",Scorecard!G19)</f>
        <v/>
      </c>
    </row>
    <row r="39" spans="1:6" ht="15" customHeight="1" x14ac:dyDescent="0.3">
      <c r="A39" s="22" t="s">
        <v>38</v>
      </c>
      <c r="B39" s="22"/>
      <c r="C39" s="22"/>
      <c r="D39" s="22"/>
      <c r="E39" s="22"/>
      <c r="F39" s="22"/>
    </row>
    <row r="40" spans="1:6" ht="48" customHeight="1" x14ac:dyDescent="0.3">
      <c r="A40" s="17" t="s">
        <v>125</v>
      </c>
      <c r="B40" s="15" t="str">
        <f>Scorecard!B21</f>
        <v>Customer clearly understands: this is a BUSINESS Loan Against Property — the property will be MORTGAGED to Prodigee.</v>
      </c>
      <c r="C40" s="16">
        <f>Scorecard!C21</f>
        <v>4</v>
      </c>
      <c r="D40" s="16">
        <f>Scorecard!F21</f>
        <v>0</v>
      </c>
      <c r="E40" s="14" t="str">
        <f>IF(Scorecard!E21="Yes","✔ Asked",IF(Scorecard!E21="Half","½ Half",IF(Scorecard!E21="No","✘ MISSED","?")))</f>
        <v>?</v>
      </c>
      <c r="F40" s="15" t="str">
        <f>IF(Scorecard!G21="","",Scorecard!G21)</f>
        <v/>
      </c>
    </row>
    <row r="41" spans="1:6" ht="63.75" customHeight="1" x14ac:dyDescent="0.3">
      <c r="A41" s="17" t="s">
        <v>126</v>
      </c>
      <c r="B41" s="15" t="str">
        <f>Scorecard!B22</f>
        <v>LOAN REQUIREMENT: the customer states the amount himself (do NOT lead with the figure) — within 10% of the application; tenure; then tell him the approximate EMI for that amount and tenure.</v>
      </c>
      <c r="C41" s="16">
        <f>Scorecard!C22</f>
        <v>4</v>
      </c>
      <c r="D41" s="16">
        <f>Scorecard!F22</f>
        <v>0</v>
      </c>
      <c r="E41" s="14" t="str">
        <f>IF(Scorecard!E22="Yes","✔ Asked",IF(Scorecard!E22="Half","½ Half",IF(Scorecard!E22="No","✘ MISSED","?")))</f>
        <v>?</v>
      </c>
      <c r="F41" s="15" t="str">
        <f>IF(Scorecard!G22="","",Scorecard!G22)</f>
        <v/>
      </c>
    </row>
    <row r="42" spans="1:6" ht="31.5" customHeight="1" x14ac:dyDescent="0.3">
      <c r="A42" s="14" t="s">
        <v>44</v>
      </c>
      <c r="B42" s="15" t="str">
        <f>Scorecard!B23</f>
        <v>END USE: what the money is for — how much, for what, when. Business-linked and not a restricted use.</v>
      </c>
      <c r="C42" s="16">
        <f>Scorecard!C23</f>
        <v>4</v>
      </c>
      <c r="D42" s="16">
        <f>Scorecard!F23</f>
        <v>0</v>
      </c>
      <c r="E42" s="14" t="str">
        <f>IF(Scorecard!E23="Yes","✔ Asked",IF(Scorecard!E23="Half","½ Half",IF(Scorecard!E23="No","✘ MISSED","?")))</f>
        <v>?</v>
      </c>
      <c r="F42" s="15" t="str">
        <f>IF(Scorecard!G23="","",Scorecard!G23)</f>
        <v/>
      </c>
    </row>
    <row r="43" spans="1:6" ht="15" customHeight="1" x14ac:dyDescent="0.3">
      <c r="A43" s="22" t="s">
        <v>46</v>
      </c>
      <c r="B43" s="22"/>
      <c r="C43" s="22"/>
      <c r="D43" s="22"/>
      <c r="E43" s="22"/>
      <c r="F43" s="22"/>
    </row>
    <row r="44" spans="1:6" ht="48" customHeight="1" x14ac:dyDescent="0.3">
      <c r="A44" s="14" t="s">
        <v>48</v>
      </c>
      <c r="B44" s="15" t="str">
        <f>Scorecard!B25</f>
        <v>PRIMARY BUSINESS: what, where, since when, who runs it. Average DAILY sales / income and MONTHLY income — in the customer's own figures.</v>
      </c>
      <c r="C44" s="16">
        <f>Scorecard!C25</f>
        <v>5</v>
      </c>
      <c r="D44" s="16">
        <f>Scorecard!F25</f>
        <v>0</v>
      </c>
      <c r="E44" s="14" t="str">
        <f>IF(Scorecard!E25="Yes","✔ Asked",IF(Scorecard!E25="Half","½ Half",IF(Scorecard!E25="No","✘ MISSED","?")))</f>
        <v>?</v>
      </c>
      <c r="F44" s="15" t="str">
        <f>IF(Scorecard!G25="","",Scorecard!G25)</f>
        <v/>
      </c>
    </row>
    <row r="45" spans="1:6" ht="31.5" customHeight="1" x14ac:dyDescent="0.3">
      <c r="A45" s="14" t="s">
        <v>50</v>
      </c>
      <c r="B45" s="15" t="str">
        <f>Scorecard!B26</f>
        <v>OTHER BUSINESSES run by the borrower or co-borrowers — each one with its average daily and monthly income.</v>
      </c>
      <c r="C45" s="16">
        <f>Scorecard!C26</f>
        <v>5</v>
      </c>
      <c r="D45" s="16">
        <f>Scorecard!F26</f>
        <v>0</v>
      </c>
      <c r="E45" s="14" t="str">
        <f>IF(Scorecard!E26="Yes","✔ Asked",IF(Scorecard!E26="Half","½ Half",IF(Scorecard!E26="No","✘ MISSED","?")))</f>
        <v>?</v>
      </c>
      <c r="F45" s="15" t="str">
        <f>IF(Scorecard!G26="","",Scorecard!G26)</f>
        <v/>
      </c>
    </row>
    <row r="46" spans="1:6" ht="48" customHeight="1" x14ac:dyDescent="0.3">
      <c r="A46" s="14" t="s">
        <v>52</v>
      </c>
      <c r="B46" s="15" t="str">
        <f>Scorecard!B27</f>
        <v>ADDITIONAL INCOMES: salary, rent, dairy, pension, transport, family members' earnings — source and monthly amount for each.</v>
      </c>
      <c r="C46" s="16">
        <f>Scorecard!C27</f>
        <v>4</v>
      </c>
      <c r="D46" s="16">
        <f>Scorecard!F27</f>
        <v>0</v>
      </c>
      <c r="E46" s="14" t="str">
        <f>IF(Scorecard!E27="Yes","✔ Asked",IF(Scorecard!E27="Half","½ Half",IF(Scorecard!E27="No","✘ MISSED","?")))</f>
        <v>?</v>
      </c>
      <c r="F46" s="15" t="str">
        <f>IF(Scorecard!G27="","",Scorecard!G27)</f>
        <v/>
      </c>
    </row>
    <row r="47" spans="1:6" ht="48" customHeight="1" x14ac:dyDescent="0.3">
      <c r="A47" s="14" t="s">
        <v>54</v>
      </c>
      <c r="B47" s="15" t="str">
        <f>Scorecard!B28</f>
        <v>AGRICULTURAL INCOME: land — acres, in whose name; crops; approximate yearly income; KCC running? If no farm land, say so clearly (counts as covered).</v>
      </c>
      <c r="C47" s="16">
        <f>Scorecard!C28</f>
        <v>4</v>
      </c>
      <c r="D47" s="16">
        <f>Scorecard!F28</f>
        <v>0</v>
      </c>
      <c r="E47" s="14" t="str">
        <f>IF(Scorecard!E28="Yes","✔ Asked",IF(Scorecard!E28="Half","½ Half",IF(Scorecard!E28="No","✘ MISSED","?")))</f>
        <v>?</v>
      </c>
      <c r="F47" s="15" t="str">
        <f>IF(Scorecard!G28="","",Scorecard!G28)</f>
        <v/>
      </c>
    </row>
    <row r="48" spans="1:6" ht="79.5" customHeight="1" x14ac:dyDescent="0.3">
      <c r="A48" s="17" t="s">
        <v>127</v>
      </c>
      <c r="B48" s="15" t="str">
        <f>Scorecard!B29</f>
        <v>SUFFICIENCY VIEW — say it on record: total household income (excluding agri) at least Rs. 30,000/month and one earner at least Rs. 15,000/month? Is the income from ALL sources sufficient for the LAP amount asked? Yes / No, and why.</v>
      </c>
      <c r="C48" s="16">
        <f>Scorecard!C29</f>
        <v>6</v>
      </c>
      <c r="D48" s="16">
        <f>Scorecard!F29</f>
        <v>0</v>
      </c>
      <c r="E48" s="14" t="str">
        <f>IF(Scorecard!E29="Yes","✔ Asked",IF(Scorecard!E29="Half","½ Half",IF(Scorecard!E29="No","✘ MISSED","?")))</f>
        <v>?</v>
      </c>
      <c r="F48" s="15" t="str">
        <f>IF(Scorecard!G29="","",Scorecard!G29)</f>
        <v/>
      </c>
    </row>
    <row r="49" spans="1:6" ht="15" customHeight="1" x14ac:dyDescent="0.3">
      <c r="A49" s="22" t="s">
        <v>58</v>
      </c>
      <c r="B49" s="22"/>
      <c r="C49" s="22"/>
      <c r="D49" s="22"/>
      <c r="E49" s="22"/>
      <c r="F49" s="22"/>
    </row>
    <row r="50" spans="1:6" ht="63.75" customHeight="1" x14ac:dyDescent="0.3">
      <c r="A50" s="17" t="s">
        <v>128</v>
      </c>
      <c r="B50" s="15" t="str">
        <f>Scorecard!B31</f>
        <v>CURRENT OBLIGATIONS: every loan running — lender, EMI, since when — checked against the BPS / bureau in front of you; plus MFI / SHG, KCC, gold, hand loans. Any loan not in the bureau — note it.</v>
      </c>
      <c r="C50" s="16">
        <f>Scorecard!C31</f>
        <v>5</v>
      </c>
      <c r="D50" s="16">
        <f>Scorecard!F31</f>
        <v>0</v>
      </c>
      <c r="E50" s="14" t="str">
        <f>IF(Scorecard!E31="Yes","✔ Asked",IF(Scorecard!E31="Half","½ Half",IF(Scorecard!E31="No","✘ MISSED","?")))</f>
        <v>?</v>
      </c>
      <c r="F50" s="15" t="str">
        <f>IF(Scorecard!G31="","",Scorecard!G31)</f>
        <v/>
      </c>
    </row>
    <row r="51" spans="1:6" ht="48" customHeight="1" x14ac:dyDescent="0.3">
      <c r="A51" s="14" t="s">
        <v>62</v>
      </c>
      <c r="B51" s="15" t="str">
        <f>Scorecard!B32</f>
        <v>OVERDUES / BOUNCES shown in the BPS put to the customer one by one — his reason recorded. Any other BPS red flag (recent enquiries, settlement) asked.</v>
      </c>
      <c r="C51" s="16">
        <f>Scorecard!C32</f>
        <v>4</v>
      </c>
      <c r="D51" s="16">
        <f>Scorecard!F32</f>
        <v>0</v>
      </c>
      <c r="E51" s="14" t="str">
        <f>IF(Scorecard!E32="Yes","✔ Asked",IF(Scorecard!E32="Half","½ Half",IF(Scorecard!E32="No","✘ MISSED","?")))</f>
        <v>?</v>
      </c>
      <c r="F51" s="15" t="str">
        <f>IF(Scorecard!G32="","",Scorecard!G32)</f>
        <v/>
      </c>
    </row>
    <row r="52" spans="1:6" ht="48" customHeight="1" x14ac:dyDescent="0.3">
      <c r="A52" s="17" t="s">
        <v>129</v>
      </c>
      <c r="B52" s="15" t="str">
        <f>Scorecard!B33</f>
        <v>APPLIED ANYWHERE ELSE? Which bank / NBFC, how much, when, and the STATUS — sanctioned / rejected / pending — and why. Total amount he is seeking from all lenders.</v>
      </c>
      <c r="C52" s="16">
        <f>Scorecard!C33</f>
        <v>5</v>
      </c>
      <c r="D52" s="16">
        <f>Scorecard!F33</f>
        <v>0</v>
      </c>
      <c r="E52" s="14" t="str">
        <f>IF(Scorecard!E33="Yes","✔ Asked",IF(Scorecard!E33="Half","½ Half",IF(Scorecard!E33="No","✘ MISSED","?")))</f>
        <v>?</v>
      </c>
      <c r="F52" s="15" t="str">
        <f>IF(Scorecard!G33="","",Scorecard!G33)</f>
        <v/>
      </c>
    </row>
    <row r="53" spans="1:6" ht="15" customHeight="1" x14ac:dyDescent="0.3">
      <c r="A53" s="22" t="s">
        <v>66</v>
      </c>
      <c r="B53" s="22"/>
      <c r="C53" s="22"/>
      <c r="D53" s="22"/>
      <c r="E53" s="22"/>
      <c r="F53" s="22"/>
    </row>
    <row r="54" spans="1:6" ht="31.5" customHeight="1" x14ac:dyDescent="0.3">
      <c r="A54" s="14" t="s">
        <v>68</v>
      </c>
      <c r="B54" s="15" t="str">
        <f>Scorecard!B35</f>
        <v>WHICH PROPERTY will be mortgaged: house / shop / plot, where, self-occupied or rented out, approximate size.</v>
      </c>
      <c r="C54" s="16">
        <f>Scorecard!C35</f>
        <v>4</v>
      </c>
      <c r="D54" s="16">
        <f>Scorecard!F35</f>
        <v>0</v>
      </c>
      <c r="E54" s="14" t="str">
        <f>IF(Scorecard!E35="Yes","✔ Asked",IF(Scorecard!E35="Half","½ Half",IF(Scorecard!E35="No","✘ MISSED","?")))</f>
        <v>?</v>
      </c>
      <c r="F54" s="15" t="str">
        <f>IF(Scorecard!G35="","",Scorecard!G35)</f>
        <v/>
      </c>
    </row>
    <row r="55" spans="1:6" ht="48" customHeight="1" x14ac:dyDescent="0.3">
      <c r="A55" s="17" t="s">
        <v>130</v>
      </c>
      <c r="B55" s="15" t="str">
        <f>Scorecard!B36</f>
        <v>PROPERTY PAPERS: what type the customer will give — Registered Sale Deed / Patta / 5-pager / other; are the ORIGINALS with him?</v>
      </c>
      <c r="C55" s="16">
        <f>Scorecard!C36</f>
        <v>4</v>
      </c>
      <c r="D55" s="16">
        <f>Scorecard!F36</f>
        <v>0</v>
      </c>
      <c r="E55" s="14" t="str">
        <f>IF(Scorecard!E36="Yes","✔ Asked",IF(Scorecard!E36="Half","½ Half",IF(Scorecard!E36="No","✘ MISSED","?")))</f>
        <v>?</v>
      </c>
      <c r="F55" s="15" t="str">
        <f>IF(Scorecard!G36="","",Scorecard!G36)</f>
        <v/>
      </c>
    </row>
    <row r="56" spans="1:6" ht="48" customHeight="1" x14ac:dyDescent="0.3">
      <c r="A56" s="17" t="s">
        <v>131</v>
      </c>
      <c r="B56" s="15" t="str">
        <f>Scorecard!B37</f>
        <v>ALREADY MORTGAGED anywhere? Papers lying with any bank / finance company? Any dispute or court case? Is he willing to mortgage it?</v>
      </c>
      <c r="C56" s="16">
        <f>Scorecard!C37</f>
        <v>4</v>
      </c>
      <c r="D56" s="16">
        <f>Scorecard!F37</f>
        <v>0</v>
      </c>
      <c r="E56" s="14" t="str">
        <f>IF(Scorecard!E37="Yes","✔ Asked",IF(Scorecard!E37="Half","½ Half",IF(Scorecard!E37="No","✘ MISSED","?")))</f>
        <v>?</v>
      </c>
      <c r="F56" s="15" t="str">
        <f>IF(Scorecard!G37="","",Scorecard!G37)</f>
        <v/>
      </c>
    </row>
    <row r="57" spans="1:6" ht="63.75" customHeight="1" x14ac:dyDescent="0.3">
      <c r="A57" s="17" t="s">
        <v>132</v>
      </c>
      <c r="B57" s="15" t="str">
        <f>Scorecard!B38</f>
        <v>OWNERS: who all are the owners of the property — will ALL of them come as CO-BORROWERS? FEMALE CO-BORROWER IS MANDATORY — wife (or mother, if unmarried): her name, and has she agreed?</v>
      </c>
      <c r="C57" s="16">
        <f>Scorecard!C38</f>
        <v>4</v>
      </c>
      <c r="D57" s="16">
        <f>Scorecard!F38</f>
        <v>0</v>
      </c>
      <c r="E57" s="14" t="str">
        <f>IF(Scorecard!E38="Yes","✔ Asked",IF(Scorecard!E38="Half","½ Half",IF(Scorecard!E38="No","✘ MISSED","?")))</f>
        <v>?</v>
      </c>
      <c r="F57" s="15" t="str">
        <f>IF(Scorecard!G38="","",Scorecard!G38)</f>
        <v/>
      </c>
    </row>
    <row r="58" spans="1:6" ht="15" customHeight="1" x14ac:dyDescent="0.3">
      <c r="A58" s="22" t="s">
        <v>76</v>
      </c>
      <c r="B58" s="22"/>
      <c r="C58" s="22"/>
      <c r="D58" s="22"/>
      <c r="E58" s="22"/>
      <c r="F58" s="22"/>
    </row>
    <row r="59" spans="1:6" ht="48" customHeight="1" x14ac:dyDescent="0.3">
      <c r="A59" s="14" t="s">
        <v>78</v>
      </c>
      <c r="B59" s="15" t="str">
        <f>Scorecard!B40</f>
        <v>Call 5 to 15 minutes, both sides audible end to end. Open questions — the customer speaks first; no feeding of figures; nobody prompting him in the background.</v>
      </c>
      <c r="C59" s="16">
        <f>Scorecard!C40</f>
        <v>3</v>
      </c>
      <c r="D59" s="16">
        <f>Scorecard!F40</f>
        <v>0</v>
      </c>
      <c r="E59" s="14" t="str">
        <f>IF(Scorecard!E40="Yes","✔ Asked",IF(Scorecard!E40="Half","½ Half",IF(Scorecard!E40="No","✘ MISSED","?")))</f>
        <v>?</v>
      </c>
      <c r="F59" s="15" t="str">
        <f>IF(Scorecard!G40="","",Scorecard!G40)</f>
        <v/>
      </c>
    </row>
    <row r="60" spans="1:6" ht="79.5" customHeight="1" x14ac:dyDescent="0.3">
      <c r="A60" s="14" t="s">
        <v>80</v>
      </c>
      <c r="B60" s="15" t="str">
        <f>Scorecard!B41</f>
        <v>Tell the customer the next steps: the file goes to the Credit Team; a Credit call will come; then the BCM will visit the business and the home. Clean Track Reward (last 3 EMIs waived on clean repayment). Pay nobody any commission.</v>
      </c>
      <c r="C60" s="16">
        <f>Scorecard!C41</f>
        <v>3</v>
      </c>
      <c r="D60" s="16">
        <f>Scorecard!F41</f>
        <v>0</v>
      </c>
      <c r="E60" s="14" t="str">
        <f>IF(Scorecard!E41="Yes","✔ Asked",IF(Scorecard!E41="Half","½ Half",IF(Scorecard!E41="No","✘ MISSED","?")))</f>
        <v>?</v>
      </c>
      <c r="F60" s="15" t="str">
        <f>IF(Scorecard!G41="","",Scorecard!G41)</f>
        <v/>
      </c>
    </row>
    <row r="61" spans="1:6" ht="63.75" customHeight="1" x14ac:dyDescent="0.3">
      <c r="A61" s="17" t="s">
        <v>133</v>
      </c>
      <c r="B61" s="15" t="str">
        <f>Scorecard!B42</f>
        <v>YOUR DECISION on record with the reason: FORWARD to CPA, or REJECT at BM stage (income gate / credit behaviour / sourcing doubt / property / not the borrower). A well-reasoned REJECT scores full.</v>
      </c>
      <c r="C61" s="16">
        <f>Scorecard!C42</f>
        <v>4</v>
      </c>
      <c r="D61" s="16">
        <f>Scorecard!F42</f>
        <v>0</v>
      </c>
      <c r="E61" s="14" t="str">
        <f>IF(Scorecard!E42="Yes","✔ Asked",IF(Scorecard!E42="Half","½ Half",IF(Scorecard!E42="No","✘ MISSED","?")))</f>
        <v>?</v>
      </c>
      <c r="F61" s="15" t="str">
        <f>IF(Scorecard!G42="","",Scorecard!G42)</f>
        <v/>
      </c>
    </row>
    <row r="63" spans="1:6" ht="25.5" customHeight="1" x14ac:dyDescent="0.3">
      <c r="A63" s="11" t="s">
        <v>134</v>
      </c>
      <c r="B63" s="11"/>
      <c r="C63" s="11"/>
      <c r="D63" s="11"/>
      <c r="E63" s="11"/>
      <c r="F63" s="11"/>
    </row>
  </sheetData>
  <mergeCells count="29">
    <mergeCell ref="A58:F58"/>
    <mergeCell ref="A63:F63"/>
    <mergeCell ref="A34:F34"/>
    <mergeCell ref="A39:F39"/>
    <mergeCell ref="A43:F43"/>
    <mergeCell ref="A49:F49"/>
    <mergeCell ref="A53:F53"/>
    <mergeCell ref="A23:F23"/>
    <mergeCell ref="B24:E24"/>
    <mergeCell ref="B25:E25"/>
    <mergeCell ref="B26:E26"/>
    <mergeCell ref="A29:F29"/>
    <mergeCell ref="A10:B10"/>
    <mergeCell ref="C10:F10"/>
    <mergeCell ref="A11:B11"/>
    <mergeCell ref="C11:F11"/>
    <mergeCell ref="A12:F12"/>
    <mergeCell ref="A6:B6"/>
    <mergeCell ref="C6:F6"/>
    <mergeCell ref="A7:B7"/>
    <mergeCell ref="C7:F7"/>
    <mergeCell ref="A8:B8"/>
    <mergeCell ref="C8:F8"/>
    <mergeCell ref="A1:F1"/>
    <mergeCell ref="A2:F2"/>
    <mergeCell ref="A4:B4"/>
    <mergeCell ref="C4:F4"/>
    <mergeCell ref="A5:B5"/>
    <mergeCell ref="C5:F5"/>
  </mergeCells>
  <conditionalFormatting sqref="C11">
    <cfRule type="expression" dxfId="6" priority="2">
      <formula>LEFT(C11,3)="NOT"</formula>
    </cfRule>
    <cfRule type="expression" dxfId="5" priority="3">
      <formula>LEFT(C11,3)&lt;&gt;"NOT"</formula>
    </cfRule>
  </conditionalFormatting>
  <conditionalFormatting sqref="E24:E62">
    <cfRule type="expression" dxfId="4" priority="18">
      <formula>LEFT(E24,1)="✘"</formula>
    </cfRule>
    <cfRule type="expression" dxfId="3" priority="19">
      <formula>LEFT(E24,1)="½"</formula>
    </cfRule>
    <cfRule type="expression" dxfId="2" priority="20">
      <formula>LEFT(E24,1)="✔"</formula>
    </cfRule>
  </conditionalFormatting>
  <conditionalFormatting sqref="F15:F21">
    <cfRule type="expression" dxfId="1" priority="4">
      <formula>LEFT(F15,5)="Fully"</formula>
    </cfRule>
    <cfRule type="expression" dxfId="0" priority="5">
      <formula>OR(LEFT(F15,4)="Weak",LEFT(F15,6)="Mostly")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Scorecard</vt:lpstr>
      <vt:lpstr>My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Goel</cp:lastModifiedBy>
  <cp:revision>0</cp:revision>
  <dcterms:created xsi:type="dcterms:W3CDTF">2026-09-13T08:37:50Z</dcterms:created>
  <dcterms:modified xsi:type="dcterms:W3CDTF">2026-09-13T08:45:23Z</dcterms:modified>
  <dc:language>en-US</dc:language>
</cp:coreProperties>
</file>