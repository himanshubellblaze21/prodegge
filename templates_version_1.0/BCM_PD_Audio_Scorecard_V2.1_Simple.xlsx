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mitg\Desktop\"/>
    </mc:Choice>
  </mc:AlternateContent>
  <xr:revisionPtr revIDLastSave="0" documentId="13_ncr:1_{DADC75FC-C438-474B-ADD8-C38E2AA0A83C}" xr6:coauthVersionLast="47" xr6:coauthVersionMax="47" xr10:uidLastSave="{00000000-0000-0000-0000-000000000000}"/>
  <bookViews>
    <workbookView xWindow="-108" yWindow="-108" windowWidth="23256" windowHeight="12456" tabRatio="500" activeTab="1" xr2:uid="{00000000-000D-0000-FFFF-FFFF00000000}"/>
  </bookViews>
  <sheets>
    <sheet name="Scorecard" sheetId="1" r:id="rId1"/>
    <sheet name="My Resul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0" i="2" l="1"/>
  <c r="E70" i="2"/>
  <c r="C70" i="2"/>
  <c r="B70" i="2"/>
  <c r="F69" i="2"/>
  <c r="E69" i="2"/>
  <c r="C69" i="2"/>
  <c r="B69" i="2"/>
  <c r="F68" i="2"/>
  <c r="E68" i="2"/>
  <c r="C68" i="2"/>
  <c r="B68" i="2"/>
  <c r="F67" i="2"/>
  <c r="E67" i="2"/>
  <c r="C67" i="2"/>
  <c r="B67" i="2"/>
  <c r="F65" i="2"/>
  <c r="E65" i="2"/>
  <c r="C65" i="2"/>
  <c r="B65" i="2"/>
  <c r="F64" i="2"/>
  <c r="E64" i="2"/>
  <c r="C64" i="2"/>
  <c r="B64" i="2"/>
  <c r="F63" i="2"/>
  <c r="E63" i="2"/>
  <c r="C63" i="2"/>
  <c r="B63" i="2"/>
  <c r="F62" i="2"/>
  <c r="E62" i="2"/>
  <c r="C62" i="2"/>
  <c r="B62" i="2"/>
  <c r="F61" i="2"/>
  <c r="E61" i="2"/>
  <c r="C61" i="2"/>
  <c r="B61" i="2"/>
  <c r="F59" i="2"/>
  <c r="E59" i="2"/>
  <c r="C59" i="2"/>
  <c r="B59" i="2"/>
  <c r="F58" i="2"/>
  <c r="E58" i="2"/>
  <c r="C58" i="2"/>
  <c r="B58" i="2"/>
  <c r="F57" i="2"/>
  <c r="E57" i="2"/>
  <c r="C57" i="2"/>
  <c r="B57" i="2"/>
  <c r="F56" i="2"/>
  <c r="E56" i="2"/>
  <c r="C56" i="2"/>
  <c r="B56" i="2"/>
  <c r="F54" i="2"/>
  <c r="E54" i="2"/>
  <c r="C54" i="2"/>
  <c r="B54" i="2"/>
  <c r="F53" i="2"/>
  <c r="E53" i="2"/>
  <c r="C53" i="2"/>
  <c r="B53" i="2"/>
  <c r="F52" i="2"/>
  <c r="E52" i="2"/>
  <c r="C52" i="2"/>
  <c r="B52" i="2"/>
  <c r="F51" i="2"/>
  <c r="E51" i="2"/>
  <c r="C51" i="2"/>
  <c r="B51" i="2"/>
  <c r="F49" i="2"/>
  <c r="E49" i="2"/>
  <c r="C49" i="2"/>
  <c r="B49" i="2"/>
  <c r="F48" i="2"/>
  <c r="E48" i="2"/>
  <c r="C48" i="2"/>
  <c r="B48" i="2"/>
  <c r="F47" i="2"/>
  <c r="E47" i="2"/>
  <c r="C47" i="2"/>
  <c r="B47" i="2"/>
  <c r="F46" i="2"/>
  <c r="E46" i="2"/>
  <c r="C46" i="2"/>
  <c r="B46" i="2"/>
  <c r="F44" i="2"/>
  <c r="E44" i="2"/>
  <c r="C44" i="2"/>
  <c r="B44" i="2"/>
  <c r="F43" i="2"/>
  <c r="E43" i="2"/>
  <c r="C43" i="2"/>
  <c r="B43" i="2"/>
  <c r="F42" i="2"/>
  <c r="E42" i="2"/>
  <c r="C42" i="2"/>
  <c r="B42" i="2"/>
  <c r="F41" i="2"/>
  <c r="E41" i="2"/>
  <c r="C41" i="2"/>
  <c r="B41" i="2"/>
  <c r="F40" i="2"/>
  <c r="E40" i="2"/>
  <c r="C40" i="2"/>
  <c r="B40" i="2"/>
  <c r="F39" i="2"/>
  <c r="E39" i="2"/>
  <c r="C39" i="2"/>
  <c r="B39" i="2"/>
  <c r="F38" i="2"/>
  <c r="E38" i="2"/>
  <c r="C38" i="2"/>
  <c r="B38" i="2"/>
  <c r="F37" i="2"/>
  <c r="E37" i="2"/>
  <c r="C37" i="2"/>
  <c r="B37" i="2"/>
  <c r="F36" i="2"/>
  <c r="E36" i="2"/>
  <c r="C36" i="2"/>
  <c r="B36" i="2"/>
  <c r="F34" i="2"/>
  <c r="E34" i="2"/>
  <c r="C34" i="2"/>
  <c r="B34" i="2"/>
  <c r="F33" i="2"/>
  <c r="E33" i="2"/>
  <c r="C33" i="2"/>
  <c r="B33" i="2"/>
  <c r="F32" i="2"/>
  <c r="E32" i="2"/>
  <c r="C32" i="2"/>
  <c r="B32" i="2"/>
  <c r="F31" i="2"/>
  <c r="E31" i="2"/>
  <c r="C31" i="2"/>
  <c r="B31" i="2"/>
  <c r="F30" i="2"/>
  <c r="E30" i="2"/>
  <c r="C30" i="2"/>
  <c r="B30" i="2"/>
  <c r="D21" i="2"/>
  <c r="D20" i="2"/>
  <c r="C8" i="2"/>
  <c r="C7" i="2"/>
  <c r="C6" i="2"/>
  <c r="C5" i="2"/>
  <c r="C4" i="2"/>
  <c r="C59" i="1"/>
  <c r="C11" i="2" s="1"/>
  <c r="C57" i="1"/>
  <c r="C58" i="1" s="1"/>
  <c r="C53" i="1"/>
  <c r="H51" i="1"/>
  <c r="F51" i="1"/>
  <c r="D70" i="2" s="1"/>
  <c r="H50" i="1"/>
  <c r="F50" i="1"/>
  <c r="D69" i="2" s="1"/>
  <c r="H49" i="1"/>
  <c r="F49" i="1"/>
  <c r="D68" i="2" s="1"/>
  <c r="H48" i="1"/>
  <c r="F48" i="1"/>
  <c r="D67" i="2" s="1"/>
  <c r="H46" i="1"/>
  <c r="F46" i="1"/>
  <c r="D65" i="2" s="1"/>
  <c r="H45" i="1"/>
  <c r="F45" i="1"/>
  <c r="D64" i="2" s="1"/>
  <c r="H44" i="1"/>
  <c r="F44" i="1"/>
  <c r="D63" i="2" s="1"/>
  <c r="H43" i="1"/>
  <c r="F43" i="1"/>
  <c r="D62" i="2" s="1"/>
  <c r="H42" i="1"/>
  <c r="F42" i="1"/>
  <c r="D61" i="2" s="1"/>
  <c r="H40" i="1"/>
  <c r="F40" i="1"/>
  <c r="D59" i="2" s="1"/>
  <c r="H39" i="1"/>
  <c r="F39" i="1"/>
  <c r="D58" i="2" s="1"/>
  <c r="H38" i="1"/>
  <c r="F38" i="1"/>
  <c r="D57" i="2" s="1"/>
  <c r="H37" i="1"/>
  <c r="F37" i="1"/>
  <c r="H35" i="1"/>
  <c r="F35" i="1"/>
  <c r="D54" i="2" s="1"/>
  <c r="H34" i="1"/>
  <c r="F34" i="1"/>
  <c r="D53" i="2" s="1"/>
  <c r="H33" i="1"/>
  <c r="F33" i="1"/>
  <c r="D52" i="2" s="1"/>
  <c r="H32" i="1"/>
  <c r="F32" i="1"/>
  <c r="H30" i="1"/>
  <c r="F30" i="1"/>
  <c r="D49" i="2" s="1"/>
  <c r="H29" i="1"/>
  <c r="F29" i="1"/>
  <c r="D48" i="2" s="1"/>
  <c r="H28" i="1"/>
  <c r="F28" i="1"/>
  <c r="D47" i="2" s="1"/>
  <c r="H27" i="1"/>
  <c r="F27" i="1"/>
  <c r="H25" i="1"/>
  <c r="F25" i="1"/>
  <c r="D44" i="2" s="1"/>
  <c r="H24" i="1"/>
  <c r="F24" i="1"/>
  <c r="D43" i="2" s="1"/>
  <c r="H23" i="1"/>
  <c r="F23" i="1"/>
  <c r="D42" i="2" s="1"/>
  <c r="H22" i="1"/>
  <c r="F22" i="1"/>
  <c r="D41" i="2" s="1"/>
  <c r="H21" i="1"/>
  <c r="F21" i="1"/>
  <c r="D40" i="2" s="1"/>
  <c r="H20" i="1"/>
  <c r="F20" i="1"/>
  <c r="D39" i="2" s="1"/>
  <c r="H19" i="1"/>
  <c r="F19" i="1"/>
  <c r="D38" i="2" s="1"/>
  <c r="H18" i="1"/>
  <c r="F18" i="1"/>
  <c r="D37" i="2" s="1"/>
  <c r="H17" i="1"/>
  <c r="F17" i="1"/>
  <c r="H15" i="1"/>
  <c r="F15" i="1"/>
  <c r="D34" i="2" s="1"/>
  <c r="H14" i="1"/>
  <c r="F14" i="1"/>
  <c r="D33" i="2" s="1"/>
  <c r="H13" i="1"/>
  <c r="F13" i="1"/>
  <c r="D32" i="2" s="1"/>
  <c r="H12" i="1"/>
  <c r="F12" i="1"/>
  <c r="D31" i="2" s="1"/>
  <c r="H11" i="1"/>
  <c r="F11" i="1"/>
  <c r="F21" i="2" l="1"/>
  <c r="E21" i="2"/>
  <c r="E20" i="2"/>
  <c r="F20" i="2"/>
  <c r="D19" i="2"/>
  <c r="D56" i="2"/>
  <c r="D51" i="2"/>
  <c r="D18" i="2"/>
  <c r="D46" i="2"/>
  <c r="D17" i="2"/>
  <c r="D36" i="2"/>
  <c r="D16" i="2"/>
  <c r="B25" i="2"/>
  <c r="F24" i="2"/>
  <c r="B24" i="2"/>
  <c r="B26" i="2"/>
  <c r="F25" i="2"/>
  <c r="F26" i="2"/>
  <c r="D15" i="2"/>
  <c r="D30" i="2"/>
  <c r="C55" i="1"/>
  <c r="C56" i="1" s="1"/>
  <c r="C10" i="2" s="1"/>
  <c r="E19" i="2" l="1"/>
  <c r="F19" i="2"/>
  <c r="E18" i="2"/>
  <c r="F18" i="2"/>
  <c r="E17" i="2"/>
  <c r="F17" i="2"/>
  <c r="E16" i="2"/>
  <c r="F16" i="2"/>
  <c r="E15" i="2"/>
  <c r="F15" i="2"/>
</calcChain>
</file>

<file path=xl/sharedStrings.xml><?xml version="1.0" encoding="utf-8"?>
<sst xmlns="http://schemas.openxmlformats.org/spreadsheetml/2006/main" count="197" uniqueCount="151">
  <si>
    <t>BCM PHYSICAL PD — AUDIO RECORDING SCORECARD (V2.1 Simple)</t>
  </si>
  <si>
    <t>Evaluator: fill the yellow cells only. For each item choose Yes (fully said with names/numbers), Half (mentioned but vague/incomplete) or No (not said). If the BCM clearly says something does NOT exist (no land, no dairy, no other income, no defaults, no enquiries) — that IS covered: mark YES. Score, result and the BCM's "My Result" page fill automatically.</t>
  </si>
  <si>
    <t>Application ID</t>
  </si>
  <si>
    <t>Recording length (minutes)</t>
  </si>
  <si>
    <t>Customer name</t>
  </si>
  <si>
    <t>Recorded same day as visits? (Yes/No)</t>
  </si>
  <si>
    <t>BCM name</t>
  </si>
  <si>
    <t>Farm / dairy / other family income in this case? (Yes/No — for record only; Group C is always scored)</t>
  </si>
  <si>
    <t>Date of PD &amp; recording</t>
  </si>
  <si>
    <t>Evaluator</t>
  </si>
  <si>
    <t>No</t>
  </si>
  <si>
    <t>WHAT THE BCM MUST SAY IN THE RECORDING</t>
  </si>
  <si>
    <t>Points</t>
  </si>
  <si>
    <t>MUST</t>
  </si>
  <si>
    <t>Covered? (Yes / Half / No)</t>
  </si>
  <si>
    <t>Score</t>
  </si>
  <si>
    <t>What was missing — evaluator note</t>
  </si>
  <si>
    <t>lost (helper)</t>
  </si>
  <si>
    <t>A. VISIT &amp; PHOTOS</t>
  </si>
  <si>
    <t>Minute 0–2</t>
  </si>
  <si>
    <t>A1</t>
  </si>
  <si>
    <t>Start with: Application ID, customer name, village/town, loan amount asked. Say that you checked the CRIF report and BPS score before going.</t>
  </si>
  <si>
    <t>A2</t>
  </si>
  <si>
    <t>Say that you met the BORROWER HIMSELF at his business — not on phone, not through a relative. Date, time, and who came with you.</t>
  </si>
  <si>
    <t>A3</t>
  </si>
  <si>
    <t>Time spent: business (start–end) and home (start–end). Total must be at least 1 hour (normally 1 to 1.5 hours).</t>
  </si>
  <si>
    <t>A4</t>
  </si>
  <si>
    <t>Home and property visited (say if home and property are the same house). Co-borrower and family met at home.</t>
  </si>
  <si>
    <t>A5</t>
  </si>
  <si>
    <t>Photos taken and uploaded: signboard, QR code, FULL stock, purchase bills, sales bills / register / khata, mandi receipts, every room of the house, household items, electricity meter, both business neighbours, both home neighbours, land / animals (if any), property papers.</t>
  </si>
  <si>
    <t>B. BUSINESS (say this for EVERY business — borrower's and family members')</t>
  </si>
  <si>
    <t>Minute 2–9</t>
  </si>
  <si>
    <t>B1</t>
  </si>
  <si>
    <t>What you SAW: shop/unit size, how much stock, how many staff, customers during your visit, machines, signboard. Every business visited — including one run by wife, son, father.</t>
  </si>
  <si>
    <t>B2</t>
  </si>
  <si>
    <t>Who actually runs it; running since which year; what the borrower did BEFORE this; new business or family business for generations; shop owned or rented (rent, years here); licence seen (Udyam / Gumasta / GST / FSSAI).</t>
  </si>
  <si>
    <t>B3</t>
  </si>
  <si>
    <t>PURCHASES: buys material from where; purchase bills of last 12 months seen?; % paid by bank/UPI and % by cash; TOP 5 SUPPLIERS with names and mobile numbers; credit taken from suppliers (days, amount due).</t>
  </si>
  <si>
    <t>B4</t>
  </si>
  <si>
    <t>SALES: who buys; % received in cash and % by UPI; QR code / UPI is in WHOSE name; sales today and average daily sales; average monthly sales; lean months and daily sales in lean months; udhaar (credit) given to customers — how much.</t>
  </si>
  <si>
    <t>B5</t>
  </si>
  <si>
    <t>STOCK: you counted the stock yourself — your value (Rs.) vs what the customer says.</t>
  </si>
  <si>
    <t>B6</t>
  </si>
  <si>
    <t>INCOME — BALL-PARK only (no detailed maths needed at PD): (1) what the CUSTOMER says his monthly income from the business is, and (2) what YOU think the monthly income is, as a rough figure. Both numbers must be said.</t>
  </si>
  <si>
    <t>B7</t>
  </si>
  <si>
    <t>AA (Account Aggregator) triggered on PRAGATI for ALL bank accounts of borrower and co-borrowers — name each account and say SUCCESS or FAILED for each. Documents seen: bills, register, khata, passbook, kata parchi.</t>
  </si>
  <si>
    <t>B8</t>
  </si>
  <si>
    <t>2 BUSINESS NEIGHBOURS: name, shop, mobile number, how long this business is running here, what they said about the customer. Photos taken.</t>
  </si>
  <si>
    <t>B9</t>
  </si>
  <si>
    <t>YOUR VIEW on each business: genuine and running — or doubt (borrowed stock, arranged setup, too small for the claim). Say it clearly.</t>
  </si>
  <si>
    <t>C. FARM, DAIRY &amp; OTHER FAMILY INCOME (ALWAYS scored — if there is no land / dairy / other income, the BCM must SAY SO clearly: that gets FULL points)</t>
  </si>
  <si>
    <t>Minute 9–11</t>
  </si>
  <si>
    <t>C1</t>
  </si>
  <si>
    <t>LAND: is there agriculture land — YES or NO? If NO land, and the BCM says so clearly → mark YES (full points; no Khasra / land details needed). If land is there: how many acres, in whose name, and does the family cultivate it themselves or give it to someone else.</t>
  </si>
  <si>
    <t>C2</t>
  </si>
  <si>
    <t>CROPS: how many crops a year, and the profit per season after all expenses. If the BCM has said there is NO land → mark YES (full points).</t>
  </si>
  <si>
    <t>C3</t>
  </si>
  <si>
    <t>DAIRY: any dairy animals — YES or NO? If yes: how many are milking, litres of milk per day sold, and where it is sold. If the BCM says clearly there are NO dairy animals → mark YES (full points).</t>
  </si>
  <si>
    <t>C4</t>
  </si>
  <si>
    <t>OTHER INCOME of the WHOLE FAMILY (other than the main business, farm and dairy): each source of income, who in the family earns it, and any proof available. If there is no other income and the BCM says so clearly → mark YES (full points).</t>
  </si>
  <si>
    <t>D. LOANS &amp; REPAYMENT</t>
  </si>
  <si>
    <t>Minute 11–14</t>
  </si>
  <si>
    <t>D1</t>
  </si>
  <si>
    <t>All ACTIVE loans in the CRIF of borrower and co-borrowers — lender, EMI, outstanding — discussed with the customer. Closed loans need NOT be discussed.</t>
  </si>
  <si>
    <t>D2</t>
  </si>
  <si>
    <t>DEFAULTS: loans defaulted in the PAST — with the reason; and any loan in default NOW — with the reason. If there are no defaults, the BCM says so clearly → mark YES.</t>
  </si>
  <si>
    <t>D3</t>
  </si>
  <si>
    <t>Approximate family expenses per month (overall figure is enough). School fees may or may not be mentioned. Next-12-month expenses NOT needed.</t>
  </si>
  <si>
    <t>D4</t>
  </si>
  <si>
    <t>ENQUIRIES in the last 3 months (from CRIF): how many, and for each — current status, sanctioned or not; if not sanctioned, the reason. If there are no enquiries, the BCM says so clearly → mark YES.</t>
  </si>
  <si>
    <t>E. FAMILY &amp; HOME</t>
  </si>
  <si>
    <t>Minute 14–17</t>
  </si>
  <si>
    <t>E1</t>
  </si>
  <si>
    <t>HOME: own or rented, years living here, pucca / kachha, rooms; electricity bill in whose name; items seen — tractor, car, bike, TV, fridge, washing machine, smartphones (how many), cooler / AC, gas, electricity meter. Does the standard of living match the income claimed?</t>
  </si>
  <si>
    <t>E2</t>
  </si>
  <si>
    <t>CO-BORROWERS met in person and aware of the loan. KYC IDs (Aadhaar / PAN / Voter / Samagra) of the borrower and ALL co-borrowers checked. Other family members need not be met, but each one must be noted: name, age and what they do.</t>
  </si>
  <si>
    <t>E3</t>
  </si>
  <si>
    <t>2 HOME NEIGHBOURS: name, mobile number, how long the family is staying here, conduct, any dispute. Photos taken.</t>
  </si>
  <si>
    <t>E4</t>
  </si>
  <si>
    <t>Told the customer and family: this is a Loan Against Property (house mortgaged), the EMI amount, Clean Track Reward (last 3 EMIs waived on clean repayment), ZERO COMMISSION — pay nobody, Prodigee works on trust and integrity.</t>
  </si>
  <si>
    <t>F. PROPERTY</t>
  </si>
  <si>
    <t>Minute 17–20</t>
  </si>
  <si>
    <t>F1</t>
  </si>
  <si>
    <t>Property: house / shop / plot, self-occupied or rented out, pucca, age, area (sq.ft), road access, kitchen and toilet, condition.</t>
  </si>
  <si>
    <t>F2</t>
  </si>
  <si>
    <t>ORIGINAL papers seen with your own eyes (Sale Deed / Patta / 5-pager — say which); in whose name; how he got it; mutation done? ALL owners and legal heirs are CO-BORROWERS on this loan — name them. If papers are NOT with the borrower and the BCM says so clearly in the recording (and when they will be given) → do NOT cut points: mark YES for the paper-related parts.</t>
  </si>
  <si>
    <t>F3</t>
  </si>
  <si>
    <t>Papers genuine? (registry seal and number, pages complete, Panchayat seal / signature). Already mortgaged with any other bank / finance company? Original papers lying with any other lender? Asked the family; checked CRIF for secured loans. For panchayat property: Patta / SVAMITVA record checked. If papers are NOT with the borrower and the BCM says so clearly (and when they will be given) → do NOT cut points for the paper checks; mortgaged-elsewhere question must still be asked.</t>
  </si>
  <si>
    <t>F4</t>
  </si>
  <si>
    <t>Approximate value with the basis (local rate per sq.ft, a recent sale nearby, neighbour's view); distress value; loan amount vs value.</t>
  </si>
  <si>
    <t>F5</t>
  </si>
  <si>
    <t>Risks: any dispute, ST / tribal land, high-tension line / river bank / encroachment, negative area, demolition risk — say "none" if none.</t>
  </si>
  <si>
    <t>G. LOAN PURPOSE &amp; YOUR VIEW</t>
  </si>
  <si>
    <t>Minute 20–22</t>
  </si>
  <si>
    <t>G1</t>
  </si>
  <si>
    <t>Loan purpose: how much for what, where, when; is the need visible on the ground (empty shelves, loans to be closed); not a restricted use.</t>
  </si>
  <si>
    <t>G2</t>
  </si>
  <si>
    <t>INTENT &amp; INTEGRITY — answer each one clearly: (1) business genuine? (2) sales and purchase numbers true or inflated? (3) defaults justified? (4) regular defaulter? (5) family aware and supportive? (6) all property owners on the loan? (7) papers genuine? (8) customer open or evasive about accounts, bills, loans? (9) any middleman or commission?</t>
  </si>
  <si>
    <t>G3</t>
  </si>
  <si>
    <t>WARNING SIGNS seen — say each one, or say "none": staged / fake business · hidden loans · family unaware · doubtful papers or property mortgaged elsewhere · commission or middleman · numbers not matching AA / bills.</t>
  </si>
  <si>
    <t>G4</t>
  </si>
  <si>
    <t>What you could NOT verify — say it honestly. Your overall view: total family income vs loan asked, ability and intention to repay. (This is your view — the decision is taken later on PRAGATI.)</t>
  </si>
  <si>
    <t>Recording valid? (15–25 minutes AND same day)</t>
  </si>
  <si>
    <t>Points applicable (always 100 — Group C is always scored)</t>
  </si>
  <si>
    <t>Points scored</t>
  </si>
  <si>
    <t>SCORE (out of 100)</t>
  </si>
  <si>
    <t>MUST items not fully covered (count)</t>
  </si>
  <si>
    <t>MUST items missed (list)</t>
  </si>
  <si>
    <t>RESULT</t>
  </si>
  <si>
    <t>MY PD AUDIO RESULT</t>
  </si>
  <si>
    <t>Read this after every recording. It shows your score, what you missed and what to cover first next time. Nothing to fill here — it comes from the Scorecard.</t>
  </si>
  <si>
    <t>BCM</t>
  </si>
  <si>
    <t>Customer</t>
  </si>
  <si>
    <t>Date</t>
  </si>
  <si>
    <t>Recording length (min)</t>
  </si>
  <si>
    <t>MY SCORE</t>
  </si>
  <si>
    <t>Minimum to pass: 75. All MUST items must be Yes. 90+ is Excellent.</t>
  </si>
  <si>
    <t>HOW I DID — GROUP-WISE</t>
  </si>
  <si>
    <t>I got</t>
  </si>
  <si>
    <t>%</t>
  </si>
  <si>
    <t>Comment</t>
  </si>
  <si>
    <t>A</t>
  </si>
  <si>
    <t>Visit &amp; Photos</t>
  </si>
  <si>
    <t>B</t>
  </si>
  <si>
    <t>Business</t>
  </si>
  <si>
    <t>C</t>
  </si>
  <si>
    <t>Farm, Dairy &amp; Other Family Income</t>
  </si>
  <si>
    <t>D</t>
  </si>
  <si>
    <t>Loans &amp; Repayment</t>
  </si>
  <si>
    <t>E</t>
  </si>
  <si>
    <t>Family &amp; Home</t>
  </si>
  <si>
    <t>F</t>
  </si>
  <si>
    <t>Property</t>
  </si>
  <si>
    <t>G</t>
  </si>
  <si>
    <t>Loan Purpose &amp; Your View</t>
  </si>
  <si>
    <t>NEXT TIME — COVER THESE FIRST (the 3 items where I lost most points)</t>
  </si>
  <si>
    <t>MY CHECKLIST — WHAT I SAID AND WHAT I MISSED</t>
  </si>
  <si>
    <t>Mark</t>
  </si>
  <si>
    <t>What was missing</t>
  </si>
  <si>
    <t>A2 ★</t>
  </si>
  <si>
    <t>B. BUSINESS</t>
  </si>
  <si>
    <t>B1 ★</t>
  </si>
  <si>
    <t>B7 ★</t>
  </si>
  <si>
    <t>B8 ★</t>
  </si>
  <si>
    <t>C. FARM, DAIRY &amp; OTHER FAMILY INCOME</t>
  </si>
  <si>
    <t>D1 ★</t>
  </si>
  <si>
    <t>E2 ★</t>
  </si>
  <si>
    <t>E3 ★</t>
  </si>
  <si>
    <t>F2 ★</t>
  </si>
  <si>
    <t>G2 ★</t>
  </si>
  <si>
    <t>★ = MUST item. A MUST item marked ½ or ✘ means the recording is not accepted — record those points again (a short extra recording covering only the missed points is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</si>
</sst>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4"/>
      <color rgb="FFFFFFFF"/>
      <name val="Aptos Display"/>
      <family val="2"/>
    </font>
    <font>
      <sz val="11"/>
      <color theme="1"/>
      <name val="Aptos Display"/>
      <family val="2"/>
    </font>
    <font>
      <i/>
      <sz val="9"/>
      <color rgb="FF595959"/>
      <name val="Aptos Display"/>
      <family val="2"/>
    </font>
    <font>
      <sz val="10"/>
      <name val="Aptos Display"/>
      <family val="2"/>
    </font>
    <font>
      <sz val="8"/>
      <color rgb="FFA6A6A6"/>
      <name val="Aptos Display"/>
      <family val="2"/>
    </font>
    <font>
      <b/>
      <sz val="10"/>
      <name val="Aptos Display"/>
      <family val="2"/>
    </font>
    <font>
      <b/>
      <sz val="11"/>
      <name val="Aptos Display"/>
      <family val="2"/>
    </font>
    <font>
      <i/>
      <sz val="11"/>
      <color rgb="FF595959"/>
      <name val="Aptos Display"/>
      <family val="2"/>
    </font>
    <font>
      <sz val="11"/>
      <name val="Aptos Display"/>
      <family val="2"/>
    </font>
    <font>
      <b/>
      <sz val="11"/>
      <color rgb="FFFFFFFF"/>
      <name val="Aptos Display"/>
      <family val="2"/>
    </font>
    <font>
      <b/>
      <sz val="11"/>
      <color rgb="FF7C1D1D"/>
      <name val="Aptos Display"/>
      <family val="2"/>
    </font>
    <font>
      <b/>
      <sz val="16"/>
      <color rgb="FFFFFFFF"/>
      <name val="Aptos Display"/>
      <family val="2"/>
    </font>
    <font>
      <b/>
      <sz val="12"/>
      <color rgb="FFFFFFFF"/>
      <name val="Aptos Display"/>
      <family val="2"/>
    </font>
    <font>
      <b/>
      <sz val="20"/>
      <name val="Aptos Display"/>
      <family val="2"/>
    </font>
  </fonts>
  <fills count="6">
    <fill>
      <patternFill patternType="none"/>
    </fill>
    <fill>
      <patternFill patternType="gray125"/>
    </fill>
    <fill>
      <patternFill patternType="solid">
        <fgColor rgb="FF1F3864"/>
        <bgColor rgb="FF333333"/>
      </patternFill>
    </fill>
    <fill>
      <patternFill patternType="solid">
        <fgColor rgb="FFF4F7FC"/>
        <bgColor rgb="FFFFFFFF"/>
      </patternFill>
    </fill>
    <fill>
      <patternFill patternType="solid">
        <fgColor rgb="FFFFF2CC"/>
        <bgColor rgb="FFFBE4E4"/>
      </patternFill>
    </fill>
    <fill>
      <patternFill patternType="solid">
        <fgColor rgb="FF2E5496"/>
        <bgColor rgb="FF1F38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7">
    <xf numFmtId="0" fontId="0" fillId="0" borderId="0" xfId="0"/>
    <xf numFmtId="0" fontId="10" fillId="5"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2" fillId="0" borderId="0" xfId="0" applyFont="1" applyAlignment="1">
      <alignment vertical="center"/>
    </xf>
    <xf numFmtId="0" fontId="7" fillId="3"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5" fillId="0" borderId="0" xfId="0" applyFont="1" applyAlignment="1">
      <alignment vertical="center"/>
    </xf>
    <xf numFmtId="0" fontId="7"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0" borderId="2" xfId="0" applyFont="1" applyBorder="1" applyAlignment="1">
      <alignment horizontal="left" vertical="center" wrapText="1"/>
    </xf>
    <xf numFmtId="0" fontId="10" fillId="5"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9" fillId="0" borderId="2" xfId="0" applyFont="1" applyBorder="1" applyAlignment="1">
      <alignment horizontal="left" vertical="center" wrapText="1"/>
    </xf>
    <xf numFmtId="0" fontId="9"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2" fillId="0" borderId="0" xfId="0" applyFont="1" applyAlignment="1">
      <alignment vertical="center" wrapText="1"/>
    </xf>
    <xf numFmtId="0" fontId="2" fillId="0" borderId="2" xfId="0" applyFont="1" applyBorder="1" applyAlignment="1">
      <alignment vertical="center" wrapText="1"/>
    </xf>
    <xf numFmtId="0" fontId="12" fillId="2" borderId="0" xfId="0" applyFont="1" applyFill="1" applyAlignment="1">
      <alignment horizontal="left" vertical="center" wrapText="1"/>
    </xf>
    <xf numFmtId="0" fontId="2" fillId="0" borderId="0" xfId="0" applyFont="1" applyAlignment="1">
      <alignment vertical="center" wrapText="1"/>
    </xf>
    <xf numFmtId="0" fontId="10" fillId="2" borderId="2" xfId="0" applyFont="1" applyFill="1" applyBorder="1" applyAlignment="1">
      <alignment horizontal="left" vertical="center" wrapText="1"/>
    </xf>
    <xf numFmtId="0" fontId="0" fillId="0" borderId="6" xfId="0" applyBorder="1" applyAlignment="1">
      <alignment vertical="center" wrapText="1"/>
    </xf>
    <xf numFmtId="0" fontId="0" fillId="0" borderId="5" xfId="0" applyBorder="1" applyAlignment="1">
      <alignment vertical="center" wrapText="1"/>
    </xf>
    <xf numFmtId="0" fontId="13" fillId="5" borderId="2" xfId="0" applyFont="1" applyFill="1" applyBorder="1" applyAlignment="1">
      <alignment horizontal="left" vertical="center" wrapText="1"/>
    </xf>
    <xf numFmtId="0" fontId="7" fillId="0" borderId="2" xfId="0" applyFont="1" applyBorder="1" applyAlignment="1">
      <alignment horizontal="left" vertical="center" wrapText="1"/>
    </xf>
    <xf numFmtId="0" fontId="8" fillId="0" borderId="2" xfId="0" applyFont="1" applyBorder="1" applyAlignment="1">
      <alignment horizontal="center" vertical="center" wrapText="1"/>
    </xf>
    <xf numFmtId="0" fontId="4" fillId="0" borderId="2" xfId="0" applyFont="1" applyBorder="1" applyAlignment="1">
      <alignment horizontal="left" vertical="center" wrapText="1"/>
    </xf>
    <xf numFmtId="0" fontId="6" fillId="3" borderId="2" xfId="0" applyFont="1" applyFill="1" applyBorder="1" applyAlignment="1">
      <alignment horizontal="left" vertical="center" wrapText="1"/>
    </xf>
    <xf numFmtId="0" fontId="14" fillId="0" borderId="2" xfId="0" applyFont="1" applyBorder="1" applyAlignment="1">
      <alignment horizontal="center" vertical="center" wrapText="1"/>
    </xf>
    <xf numFmtId="0" fontId="3" fillId="0" borderId="0" xfId="0" applyFont="1" applyAlignment="1">
      <alignment horizontal="left" vertical="center" wrapText="1"/>
    </xf>
    <xf numFmtId="0" fontId="9" fillId="0" borderId="2" xfId="0" applyFont="1" applyBorder="1" applyAlignment="1">
      <alignment horizontal="left" vertical="center" wrapText="1"/>
    </xf>
    <xf numFmtId="0" fontId="10" fillId="5" borderId="2" xfId="0" applyFont="1" applyFill="1" applyBorder="1" applyAlignment="1">
      <alignment horizontal="left" vertical="center" wrapText="1"/>
    </xf>
    <xf numFmtId="1" fontId="4" fillId="0" borderId="2" xfId="0" applyNumberFormat="1" applyFont="1" applyBorder="1" applyAlignment="1">
      <alignment horizontal="left" vertical="center" wrapText="1"/>
    </xf>
    <xf numFmtId="0" fontId="3" fillId="0" borderId="2" xfId="0" applyFont="1" applyBorder="1" applyAlignment="1">
      <alignment horizontal="left" vertical="center" wrapText="1"/>
    </xf>
    <xf numFmtId="0" fontId="1" fillId="2" borderId="0" xfId="0" applyFont="1" applyFill="1" applyAlignment="1">
      <alignment horizontal="left" vertical="center" wrapText="1"/>
    </xf>
    <xf numFmtId="0" fontId="2" fillId="0" borderId="0" xfId="0" applyFont="1" applyAlignment="1">
      <alignment vertical="center"/>
    </xf>
    <xf numFmtId="0" fontId="7" fillId="3" borderId="1" xfId="0" applyFont="1" applyFill="1" applyBorder="1" applyAlignment="1">
      <alignment horizontal="left" vertical="center" wrapText="1"/>
    </xf>
    <xf numFmtId="0" fontId="0" fillId="0" borderId="3" xfId="0" applyBorder="1"/>
    <xf numFmtId="0" fontId="10" fillId="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0" fillId="0" borderId="4" xfId="0" applyBorder="1"/>
    <xf numFmtId="0" fontId="7" fillId="0" borderId="1" xfId="0" applyFont="1" applyBorder="1" applyAlignment="1">
      <alignment horizontal="left" vertical="center" wrapText="1"/>
    </xf>
    <xf numFmtId="0" fontId="8" fillId="0" borderId="0" xfId="0" applyFont="1" applyAlignment="1">
      <alignment horizontal="left" vertical="center" wrapText="1"/>
    </xf>
    <xf numFmtId="1" fontId="9" fillId="4" borderId="1" xfId="0" applyNumberFormat="1" applyFont="1" applyFill="1" applyBorder="1" applyAlignment="1">
      <alignment horizontal="left" vertical="center" wrapText="1"/>
    </xf>
    <xf numFmtId="0" fontId="10" fillId="2" borderId="1" xfId="0" applyFont="1" applyFill="1" applyBorder="1" applyAlignment="1">
      <alignment horizontal="center" vertical="center" wrapText="1"/>
    </xf>
  </cellXfs>
  <cellStyles count="1">
    <cellStyle name="Normal" xfId="0" builtinId="0"/>
  </cellStyles>
  <dxfs count="12">
    <dxf>
      <fill>
        <patternFill>
          <bgColor rgb="FFFBE4E4"/>
        </patternFill>
      </fill>
    </dxf>
    <dxf>
      <fill>
        <patternFill>
          <bgColor rgb="FFE2EFDA"/>
        </patternFill>
      </fill>
    </dxf>
    <dxf>
      <fill>
        <patternFill>
          <bgColor rgb="FFE2EFDA"/>
        </patternFill>
      </fill>
    </dxf>
    <dxf>
      <fill>
        <patternFill>
          <bgColor rgb="FFFFF2CC"/>
        </patternFill>
      </fill>
    </dxf>
    <dxf>
      <fill>
        <patternFill>
          <bgColor rgb="FFFBE4E4"/>
        </patternFill>
      </fill>
    </dxf>
    <dxf>
      <fill>
        <patternFill>
          <bgColor rgb="FFE2EFDA"/>
        </patternFill>
      </fill>
    </dxf>
    <dxf>
      <fill>
        <patternFill>
          <bgColor rgb="FFFBE4E4"/>
        </patternFill>
      </fill>
    </dxf>
    <dxf>
      <fill>
        <patternFill>
          <bgColor rgb="FFE2EFDA"/>
        </patternFill>
      </fill>
    </dxf>
    <dxf>
      <fill>
        <patternFill>
          <bgColor rgb="FFFFF2CC"/>
        </patternFill>
      </fill>
    </dxf>
    <dxf>
      <fill>
        <patternFill>
          <bgColor rgb="FFFBE4E4"/>
        </patternFill>
      </fill>
    </dxf>
    <dxf>
      <fill>
        <patternFill>
          <bgColor rgb="FFE2EFDA"/>
        </patternFill>
      </fill>
    </dxf>
    <dxf>
      <fill>
        <patternFill>
          <bgColor rgb="FFFB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C1D1D"/>
      <rgbColor rgb="FF008000"/>
      <rgbColor rgb="FF000080"/>
      <rgbColor rgb="FF808000"/>
      <rgbColor rgb="FF800080"/>
      <rgbColor rgb="FF008080"/>
      <rgbColor rgb="FFBFBFBF"/>
      <rgbColor rgb="FF808080"/>
      <rgbColor rgb="FF9999FF"/>
      <rgbColor rgb="FF993366"/>
      <rgbColor rgb="FFFFF2CC"/>
      <rgbColor rgb="FFF4F7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4E4"/>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9"/>
  <sheetViews>
    <sheetView topLeftCell="A44" zoomScaleNormal="100" workbookViewId="0">
      <selection activeCell="G47" sqref="G47"/>
    </sheetView>
  </sheetViews>
  <sheetFormatPr defaultColWidth="8.6640625" defaultRowHeight="14.4" x14ac:dyDescent="0.3"/>
  <cols>
    <col min="1" max="1" width="14.109375" style="3" customWidth="1"/>
    <col min="2" max="2" width="78" style="3" customWidth="1"/>
    <col min="3" max="3" width="9.33203125" style="3" customWidth="1"/>
    <col min="4" max="4" width="10.109375" style="3" customWidth="1"/>
    <col min="5" max="5" width="12" style="3" customWidth="1"/>
    <col min="6" max="6" width="7" style="3" customWidth="1"/>
    <col min="7" max="7" width="44.21875" style="3" customWidth="1"/>
    <col min="8" max="8" width="8" style="3" customWidth="1"/>
    <col min="9" max="9" width="8.6640625" style="3" customWidth="1"/>
    <col min="10" max="16384" width="8.6640625" style="3"/>
  </cols>
  <sheetData>
    <row r="1" spans="1:8" ht="18" customHeight="1" x14ac:dyDescent="0.3">
      <c r="A1" s="36" t="s">
        <v>0</v>
      </c>
      <c r="B1" s="37"/>
      <c r="C1" s="37"/>
      <c r="D1" s="37"/>
      <c r="E1" s="37"/>
      <c r="F1" s="37"/>
      <c r="G1" s="37"/>
    </row>
    <row r="2" spans="1:8" ht="45" customHeight="1" x14ac:dyDescent="0.3">
      <c r="A2" s="44" t="s">
        <v>1</v>
      </c>
      <c r="B2" s="37"/>
      <c r="C2" s="37"/>
      <c r="D2" s="37"/>
      <c r="E2" s="37"/>
      <c r="F2" s="37"/>
      <c r="G2" s="37"/>
    </row>
    <row r="4" spans="1:8" ht="35.4" customHeight="1" x14ac:dyDescent="0.3">
      <c r="A4" s="4" t="s">
        <v>2</v>
      </c>
      <c r="B4" s="5"/>
      <c r="C4" s="38" t="s">
        <v>3</v>
      </c>
      <c r="D4" s="39"/>
      <c r="E4" s="45"/>
      <c r="F4" s="42"/>
      <c r="G4" s="39"/>
    </row>
    <row r="5" spans="1:8" ht="43.2" customHeight="1" x14ac:dyDescent="0.3">
      <c r="A5" s="4" t="s">
        <v>4</v>
      </c>
      <c r="B5" s="5"/>
      <c r="C5" s="38" t="s">
        <v>5</v>
      </c>
      <c r="D5" s="39"/>
      <c r="E5" s="41"/>
      <c r="F5" s="42"/>
      <c r="G5" s="39"/>
    </row>
    <row r="6" spans="1:8" ht="83.4" customHeight="1" x14ac:dyDescent="0.3">
      <c r="A6" s="4" t="s">
        <v>6</v>
      </c>
      <c r="B6" s="5"/>
      <c r="C6" s="38" t="s">
        <v>7</v>
      </c>
      <c r="D6" s="39"/>
      <c r="E6" s="41"/>
      <c r="F6" s="42"/>
      <c r="G6" s="39"/>
    </row>
    <row r="7" spans="1:8" ht="33.6" customHeight="1" x14ac:dyDescent="0.3">
      <c r="A7" s="4" t="s">
        <v>8</v>
      </c>
      <c r="B7" s="5"/>
      <c r="C7" s="38" t="s">
        <v>9</v>
      </c>
      <c r="D7" s="39"/>
      <c r="E7" s="41"/>
      <c r="F7" s="42"/>
      <c r="G7" s="39"/>
    </row>
    <row r="9" spans="1:8" ht="43.2" customHeight="1" x14ac:dyDescent="0.3">
      <c r="A9" s="1" t="s">
        <v>10</v>
      </c>
      <c r="B9" s="1" t="s">
        <v>11</v>
      </c>
      <c r="C9" s="1" t="s">
        <v>12</v>
      </c>
      <c r="D9" s="1" t="s">
        <v>13</v>
      </c>
      <c r="E9" s="1" t="s">
        <v>14</v>
      </c>
      <c r="F9" s="1" t="s">
        <v>15</v>
      </c>
      <c r="G9" s="1" t="s">
        <v>16</v>
      </c>
      <c r="H9" s="6" t="s">
        <v>17</v>
      </c>
    </row>
    <row r="10" spans="1:8" x14ac:dyDescent="0.3">
      <c r="A10" s="40" t="s">
        <v>18</v>
      </c>
      <c r="B10" s="39"/>
      <c r="C10" s="46">
        <v>10</v>
      </c>
      <c r="D10" s="2"/>
      <c r="E10" s="2"/>
      <c r="F10" s="2"/>
      <c r="G10" s="46" t="s">
        <v>19</v>
      </c>
    </row>
    <row r="11" spans="1:8" ht="28.8" customHeight="1" x14ac:dyDescent="0.3">
      <c r="A11" s="7" t="s">
        <v>20</v>
      </c>
      <c r="B11" s="8" t="s">
        <v>21</v>
      </c>
      <c r="C11" s="9">
        <v>2</v>
      </c>
      <c r="D11" s="10"/>
      <c r="E11" s="11"/>
      <c r="F11" s="9">
        <f>IF(E11="Yes",C11,IF(E11="Half",C11/2,0))</f>
        <v>0</v>
      </c>
      <c r="G11" s="5"/>
      <c r="H11" s="6">
        <f>IF(E11="Yes",0,IF(E11="Half",C11/2,C11))+IF(E11="Yes",0,(1000-ROW())/100000)</f>
        <v>2.00989</v>
      </c>
    </row>
    <row r="12" spans="1:8" ht="28.8" customHeight="1" x14ac:dyDescent="0.3">
      <c r="A12" s="7" t="s">
        <v>22</v>
      </c>
      <c r="B12" s="8" t="s">
        <v>23</v>
      </c>
      <c r="C12" s="9">
        <v>2</v>
      </c>
      <c r="D12" s="10" t="s">
        <v>13</v>
      </c>
      <c r="E12" s="11"/>
      <c r="F12" s="9">
        <f>IF(E12="Yes",C12,IF(E12="Half",C12/2,0))</f>
        <v>0</v>
      </c>
      <c r="G12" s="5"/>
      <c r="H12" s="6">
        <f>IF(E12="Yes",0,IF(E12="Half",C12/2,C12))+IF(E12="Yes",0,(1000-ROW())/100000)</f>
        <v>2.0098799999999999</v>
      </c>
    </row>
    <row r="13" spans="1:8" ht="28.8" customHeight="1" x14ac:dyDescent="0.3">
      <c r="A13" s="7" t="s">
        <v>24</v>
      </c>
      <c r="B13" s="8" t="s">
        <v>25</v>
      </c>
      <c r="C13" s="9">
        <v>2</v>
      </c>
      <c r="D13" s="10"/>
      <c r="E13" s="11"/>
      <c r="F13" s="9">
        <f>IF(E13="Yes",C13,IF(E13="Half",C13/2,0))</f>
        <v>0</v>
      </c>
      <c r="G13" s="5"/>
      <c r="H13" s="6">
        <f>IF(E13="Yes",0,IF(E13="Half",C13/2,C13))+IF(E13="Yes",0,(1000-ROW())/100000)</f>
        <v>2.0098699999999998</v>
      </c>
    </row>
    <row r="14" spans="1:8" ht="28.8" customHeight="1" x14ac:dyDescent="0.3">
      <c r="A14" s="7" t="s">
        <v>26</v>
      </c>
      <c r="B14" s="8" t="s">
        <v>27</v>
      </c>
      <c r="C14" s="9">
        <v>2</v>
      </c>
      <c r="D14" s="10"/>
      <c r="E14" s="11"/>
      <c r="F14" s="9">
        <f>IF(E14="Yes",C14,IF(E14="Half",C14/2,0))</f>
        <v>0</v>
      </c>
      <c r="G14" s="5"/>
      <c r="H14" s="6">
        <f>IF(E14="Yes",0,IF(E14="Half",C14/2,C14))+IF(E14="Yes",0,(1000-ROW())/100000)</f>
        <v>2.0098600000000002</v>
      </c>
    </row>
    <row r="15" spans="1:8" ht="43.2" customHeight="1" x14ac:dyDescent="0.3">
      <c r="A15" s="7" t="s">
        <v>28</v>
      </c>
      <c r="B15" s="8" t="s">
        <v>29</v>
      </c>
      <c r="C15" s="9">
        <v>2</v>
      </c>
      <c r="D15" s="10"/>
      <c r="E15" s="11"/>
      <c r="F15" s="9">
        <f>IF(E15="Yes",C15,IF(E15="Half",C15/2,0))</f>
        <v>0</v>
      </c>
      <c r="G15" s="5"/>
      <c r="H15" s="6">
        <f>IF(E15="Yes",0,IF(E15="Half",C15/2,C15))+IF(E15="Yes",0,(1000-ROW())/100000)</f>
        <v>2.0098500000000001</v>
      </c>
    </row>
    <row r="16" spans="1:8" x14ac:dyDescent="0.3">
      <c r="A16" s="40" t="s">
        <v>30</v>
      </c>
      <c r="B16" s="39"/>
      <c r="C16" s="46">
        <v>30</v>
      </c>
      <c r="D16" s="2"/>
      <c r="E16" s="2"/>
      <c r="F16" s="2"/>
      <c r="G16" s="46" t="s">
        <v>31</v>
      </c>
    </row>
    <row r="17" spans="1:8" ht="28.8" customHeight="1" x14ac:dyDescent="0.3">
      <c r="A17" s="7" t="s">
        <v>32</v>
      </c>
      <c r="B17" s="8" t="s">
        <v>33</v>
      </c>
      <c r="C17" s="9">
        <v>3</v>
      </c>
      <c r="D17" s="10" t="s">
        <v>13</v>
      </c>
      <c r="E17" s="11"/>
      <c r="F17" s="9">
        <f t="shared" ref="F17:F25" si="0">IF(E17="Yes",C17,IF(E17="Half",C17/2,0))</f>
        <v>0</v>
      </c>
      <c r="G17" s="5"/>
      <c r="H17" s="6">
        <f t="shared" ref="H17:H25" si="1">IF(E17="Yes",0,IF(E17="Half",C17/2,C17))+IF(E17="Yes",0,(1000-ROW())/100000)</f>
        <v>3.00983</v>
      </c>
    </row>
    <row r="18" spans="1:8" ht="43.2" customHeight="1" x14ac:dyDescent="0.3">
      <c r="A18" s="7" t="s">
        <v>34</v>
      </c>
      <c r="B18" s="8" t="s">
        <v>35</v>
      </c>
      <c r="C18" s="9">
        <v>3</v>
      </c>
      <c r="D18" s="10"/>
      <c r="E18" s="11"/>
      <c r="F18" s="9">
        <f t="shared" si="0"/>
        <v>0</v>
      </c>
      <c r="G18" s="5"/>
      <c r="H18" s="6">
        <f t="shared" si="1"/>
        <v>3.0098199999999999</v>
      </c>
    </row>
    <row r="19" spans="1:8" ht="43.2" customHeight="1" x14ac:dyDescent="0.3">
      <c r="A19" s="7" t="s">
        <v>36</v>
      </c>
      <c r="B19" s="8" t="s">
        <v>37</v>
      </c>
      <c r="C19" s="9">
        <v>4</v>
      </c>
      <c r="D19" s="10"/>
      <c r="E19" s="11"/>
      <c r="F19" s="9">
        <f t="shared" si="0"/>
        <v>0</v>
      </c>
      <c r="G19" s="5"/>
      <c r="H19" s="6">
        <f t="shared" si="1"/>
        <v>4.0098099999999999</v>
      </c>
    </row>
    <row r="20" spans="1:8" ht="43.2" customHeight="1" x14ac:dyDescent="0.3">
      <c r="A20" s="7" t="s">
        <v>38</v>
      </c>
      <c r="B20" s="8" t="s">
        <v>39</v>
      </c>
      <c r="C20" s="9">
        <v>4</v>
      </c>
      <c r="D20" s="10"/>
      <c r="E20" s="11"/>
      <c r="F20" s="9">
        <f t="shared" si="0"/>
        <v>0</v>
      </c>
      <c r="G20" s="5"/>
      <c r="H20" s="6">
        <f t="shared" si="1"/>
        <v>4.0098000000000003</v>
      </c>
    </row>
    <row r="21" spans="1:8" x14ac:dyDescent="0.3">
      <c r="A21" s="7" t="s">
        <v>40</v>
      </c>
      <c r="B21" s="8" t="s">
        <v>41</v>
      </c>
      <c r="C21" s="9">
        <v>2</v>
      </c>
      <c r="D21" s="10"/>
      <c r="E21" s="11"/>
      <c r="F21" s="9">
        <f t="shared" si="0"/>
        <v>0</v>
      </c>
      <c r="G21" s="5"/>
      <c r="H21" s="6">
        <f t="shared" si="1"/>
        <v>2.0097900000000002</v>
      </c>
    </row>
    <row r="22" spans="1:8" ht="47.25" customHeight="1" x14ac:dyDescent="0.3">
      <c r="A22" s="7" t="s">
        <v>42</v>
      </c>
      <c r="B22" s="8" t="s">
        <v>43</v>
      </c>
      <c r="C22" s="9">
        <v>4</v>
      </c>
      <c r="D22" s="10"/>
      <c r="E22" s="11"/>
      <c r="F22" s="9">
        <f t="shared" si="0"/>
        <v>0</v>
      </c>
      <c r="G22" s="5"/>
      <c r="H22" s="6">
        <f t="shared" si="1"/>
        <v>4.0097800000000001</v>
      </c>
    </row>
    <row r="23" spans="1:8" ht="43.2" customHeight="1" x14ac:dyDescent="0.3">
      <c r="A23" s="7" t="s">
        <v>44</v>
      </c>
      <c r="B23" s="8" t="s">
        <v>45</v>
      </c>
      <c r="C23" s="9">
        <v>3</v>
      </c>
      <c r="D23" s="10" t="s">
        <v>13</v>
      </c>
      <c r="E23" s="11"/>
      <c r="F23" s="9">
        <f t="shared" si="0"/>
        <v>0</v>
      </c>
      <c r="G23" s="5"/>
      <c r="H23" s="6">
        <f t="shared" si="1"/>
        <v>3.0097700000000001</v>
      </c>
    </row>
    <row r="24" spans="1:8" ht="28.8" customHeight="1" x14ac:dyDescent="0.3">
      <c r="A24" s="7" t="s">
        <v>46</v>
      </c>
      <c r="B24" s="8" t="s">
        <v>47</v>
      </c>
      <c r="C24" s="9">
        <v>4</v>
      </c>
      <c r="D24" s="10" t="s">
        <v>13</v>
      </c>
      <c r="E24" s="11"/>
      <c r="F24" s="9">
        <f t="shared" si="0"/>
        <v>0</v>
      </c>
      <c r="G24" s="5"/>
      <c r="H24" s="6">
        <f t="shared" si="1"/>
        <v>4.00976</v>
      </c>
    </row>
    <row r="25" spans="1:8" ht="28.8" customHeight="1" x14ac:dyDescent="0.3">
      <c r="A25" s="7" t="s">
        <v>48</v>
      </c>
      <c r="B25" s="8" t="s">
        <v>49</v>
      </c>
      <c r="C25" s="9">
        <v>3</v>
      </c>
      <c r="D25" s="10"/>
      <c r="E25" s="11"/>
      <c r="F25" s="9">
        <f t="shared" si="0"/>
        <v>0</v>
      </c>
      <c r="G25" s="5"/>
      <c r="H25" s="6">
        <f t="shared" si="1"/>
        <v>3.0097499999999999</v>
      </c>
    </row>
    <row r="26" spans="1:8" x14ac:dyDescent="0.3">
      <c r="A26" s="40" t="s">
        <v>50</v>
      </c>
      <c r="B26" s="39"/>
      <c r="C26" s="46">
        <v>10</v>
      </c>
      <c r="D26" s="2"/>
      <c r="E26" s="2"/>
      <c r="F26" s="2"/>
      <c r="G26" s="46" t="s">
        <v>51</v>
      </c>
    </row>
    <row r="27" spans="1:8" ht="61.65" customHeight="1" x14ac:dyDescent="0.3">
      <c r="A27" s="7" t="s">
        <v>52</v>
      </c>
      <c r="B27" s="8" t="s">
        <v>53</v>
      </c>
      <c r="C27" s="9">
        <v>3</v>
      </c>
      <c r="D27" s="10"/>
      <c r="E27" s="11"/>
      <c r="F27" s="9">
        <f>IF(E27="Yes",C27,IF(E27="Half",C27/2,0))</f>
        <v>0</v>
      </c>
      <c r="G27" s="5"/>
      <c r="H27" s="6">
        <f>IF(E27="Yes",0,IF(E27="Half",C27/2,C27))+IF(E27="Yes",0,(1000-ROW())/100000)</f>
        <v>3.0097299999999998</v>
      </c>
    </row>
    <row r="28" spans="1:8" ht="32.85" customHeight="1" x14ac:dyDescent="0.3">
      <c r="A28" s="7" t="s">
        <v>54</v>
      </c>
      <c r="B28" s="8" t="s">
        <v>55</v>
      </c>
      <c r="C28" s="9">
        <v>3</v>
      </c>
      <c r="D28" s="10"/>
      <c r="E28" s="11"/>
      <c r="F28" s="9">
        <f>IF(E28="Yes",C28,IF(E28="Half",C28/2,0))</f>
        <v>0</v>
      </c>
      <c r="G28" s="5"/>
      <c r="H28" s="6">
        <f>IF(E28="Yes",0,IF(E28="Half",C28/2,C28))+IF(E28="Yes",0,(1000-ROW())/100000)</f>
        <v>3.0097200000000002</v>
      </c>
    </row>
    <row r="29" spans="1:8" ht="47.25" customHeight="1" x14ac:dyDescent="0.3">
      <c r="A29" s="7" t="s">
        <v>56</v>
      </c>
      <c r="B29" s="8" t="s">
        <v>57</v>
      </c>
      <c r="C29" s="9">
        <v>2</v>
      </c>
      <c r="D29" s="10"/>
      <c r="E29" s="11"/>
      <c r="F29" s="9">
        <f>IF(E29="Yes",C29,IF(E29="Half",C29/2,0))</f>
        <v>0</v>
      </c>
      <c r="G29" s="5"/>
      <c r="H29" s="6">
        <f>IF(E29="Yes",0,IF(E29="Half",C29/2,C29))+IF(E29="Yes",0,(1000-ROW())/100000)</f>
        <v>2.0097100000000001</v>
      </c>
    </row>
    <row r="30" spans="1:8" ht="47.25" customHeight="1" x14ac:dyDescent="0.3">
      <c r="A30" s="7" t="s">
        <v>58</v>
      </c>
      <c r="B30" s="8" t="s">
        <v>59</v>
      </c>
      <c r="C30" s="9">
        <v>2</v>
      </c>
      <c r="D30" s="10"/>
      <c r="E30" s="11"/>
      <c r="F30" s="9">
        <f>IF(E30="Yes",C30,IF(E30="Half",C30/2,0))</f>
        <v>0</v>
      </c>
      <c r="G30" s="5"/>
      <c r="H30" s="6">
        <f>IF(E30="Yes",0,IF(E30="Half",C30/2,C30))+IF(E30="Yes",0,(1000-ROW())/100000)</f>
        <v>2.0097</v>
      </c>
    </row>
    <row r="31" spans="1:8" x14ac:dyDescent="0.3">
      <c r="A31" s="40" t="s">
        <v>60</v>
      </c>
      <c r="B31" s="39"/>
      <c r="C31" s="46">
        <v>12</v>
      </c>
      <c r="D31" s="2"/>
      <c r="E31" s="2"/>
      <c r="F31" s="2"/>
      <c r="G31" s="46" t="s">
        <v>61</v>
      </c>
    </row>
    <row r="32" spans="1:8" ht="32.85" customHeight="1" x14ac:dyDescent="0.3">
      <c r="A32" s="7" t="s">
        <v>62</v>
      </c>
      <c r="B32" s="8" t="s">
        <v>63</v>
      </c>
      <c r="C32" s="9">
        <v>4</v>
      </c>
      <c r="D32" s="10" t="s">
        <v>13</v>
      </c>
      <c r="E32" s="11"/>
      <c r="F32" s="9">
        <f>IF(E32="Yes",C32,IF(E32="Half",C32/2,0))</f>
        <v>0</v>
      </c>
      <c r="G32" s="5"/>
      <c r="H32" s="6">
        <f>IF(E32="Yes",0,IF(E32="Half",C32/2,C32))+IF(E32="Yes",0,(1000-ROW())/100000)</f>
        <v>4.0096800000000004</v>
      </c>
    </row>
    <row r="33" spans="1:8" ht="32.85" customHeight="1" x14ac:dyDescent="0.3">
      <c r="A33" s="7" t="s">
        <v>64</v>
      </c>
      <c r="B33" s="8" t="s">
        <v>65</v>
      </c>
      <c r="C33" s="9">
        <v>3</v>
      </c>
      <c r="D33" s="10"/>
      <c r="E33" s="11"/>
      <c r="F33" s="9">
        <f>IF(E33="Yes",C33,IF(E33="Half",C33/2,0))</f>
        <v>0</v>
      </c>
      <c r="G33" s="5"/>
      <c r="H33" s="6">
        <f>IF(E33="Yes",0,IF(E33="Half",C33/2,C33))+IF(E33="Yes",0,(1000-ROW())/100000)</f>
        <v>3.0096699999999998</v>
      </c>
    </row>
    <row r="34" spans="1:8" ht="32.85" customHeight="1" x14ac:dyDescent="0.3">
      <c r="A34" s="7" t="s">
        <v>66</v>
      </c>
      <c r="B34" s="8" t="s">
        <v>67</v>
      </c>
      <c r="C34" s="9">
        <v>2</v>
      </c>
      <c r="D34" s="10"/>
      <c r="E34" s="11"/>
      <c r="F34" s="9">
        <f>IF(E34="Yes",C34,IF(E34="Half",C34/2,0))</f>
        <v>0</v>
      </c>
      <c r="G34" s="5"/>
      <c r="H34" s="6">
        <f>IF(E34="Yes",0,IF(E34="Half",C34/2,C34))+IF(E34="Yes",0,(1000-ROW())/100000)</f>
        <v>2.0096599999999998</v>
      </c>
    </row>
    <row r="35" spans="1:8" ht="47.25" customHeight="1" x14ac:dyDescent="0.3">
      <c r="A35" s="7" t="s">
        <v>68</v>
      </c>
      <c r="B35" s="8" t="s">
        <v>69</v>
      </c>
      <c r="C35" s="9">
        <v>3</v>
      </c>
      <c r="D35" s="10"/>
      <c r="E35" s="11"/>
      <c r="F35" s="9">
        <f>IF(E35="Yes",C35,IF(E35="Half",C35/2,0))</f>
        <v>0</v>
      </c>
      <c r="G35" s="5"/>
      <c r="H35" s="6">
        <f>IF(E35="Yes",0,IF(E35="Half",C35/2,C35))+IF(E35="Yes",0,(1000-ROW())/100000)</f>
        <v>3.0096500000000002</v>
      </c>
    </row>
    <row r="36" spans="1:8" x14ac:dyDescent="0.3">
      <c r="A36" s="40" t="s">
        <v>70</v>
      </c>
      <c r="B36" s="39"/>
      <c r="C36" s="46">
        <v>12</v>
      </c>
      <c r="D36" s="2"/>
      <c r="E36" s="2"/>
      <c r="F36" s="2"/>
      <c r="G36" s="46" t="s">
        <v>71</v>
      </c>
    </row>
    <row r="37" spans="1:8" ht="43.2" customHeight="1" x14ac:dyDescent="0.3">
      <c r="A37" s="7" t="s">
        <v>72</v>
      </c>
      <c r="B37" s="8" t="s">
        <v>73</v>
      </c>
      <c r="C37" s="9">
        <v>3</v>
      </c>
      <c r="D37" s="10"/>
      <c r="E37" s="11"/>
      <c r="F37" s="9">
        <f>IF(E37="Yes",C37,IF(E37="Half",C37/2,0))</f>
        <v>0</v>
      </c>
      <c r="G37" s="5"/>
      <c r="H37" s="6">
        <f>IF(E37="Yes",0,IF(E37="Half",C37/2,C37))+IF(E37="Yes",0,(1000-ROW())/100000)</f>
        <v>3.00963</v>
      </c>
    </row>
    <row r="38" spans="1:8" ht="47.25" customHeight="1" x14ac:dyDescent="0.3">
      <c r="A38" s="7" t="s">
        <v>74</v>
      </c>
      <c r="B38" s="8" t="s">
        <v>75</v>
      </c>
      <c r="C38" s="9">
        <v>4</v>
      </c>
      <c r="D38" s="10" t="s">
        <v>13</v>
      </c>
      <c r="E38" s="11"/>
      <c r="F38" s="9">
        <f>IF(E38="Yes",C38,IF(E38="Half",C38/2,0))</f>
        <v>0</v>
      </c>
      <c r="G38" s="5"/>
      <c r="H38" s="6">
        <f>IF(E38="Yes",0,IF(E38="Half",C38/2,C38))+IF(E38="Yes",0,(1000-ROW())/100000)</f>
        <v>4.00962</v>
      </c>
    </row>
    <row r="39" spans="1:8" ht="28.8" customHeight="1" x14ac:dyDescent="0.3">
      <c r="A39" s="7" t="s">
        <v>76</v>
      </c>
      <c r="B39" s="8" t="s">
        <v>77</v>
      </c>
      <c r="C39" s="9">
        <v>3</v>
      </c>
      <c r="D39" s="10" t="s">
        <v>13</v>
      </c>
      <c r="E39" s="11"/>
      <c r="F39" s="9">
        <f>IF(E39="Yes",C39,IF(E39="Half",C39/2,0))</f>
        <v>0</v>
      </c>
      <c r="G39" s="5"/>
      <c r="H39" s="6">
        <f>IF(E39="Yes",0,IF(E39="Half",C39/2,C39))+IF(E39="Yes",0,(1000-ROW())/100000)</f>
        <v>3.0096099999999999</v>
      </c>
    </row>
    <row r="40" spans="1:8" ht="43.2" customHeight="1" x14ac:dyDescent="0.3">
      <c r="A40" s="7" t="s">
        <v>78</v>
      </c>
      <c r="B40" s="8" t="s">
        <v>79</v>
      </c>
      <c r="C40" s="9">
        <v>2</v>
      </c>
      <c r="D40" s="10"/>
      <c r="E40" s="11"/>
      <c r="F40" s="9">
        <f>IF(E40="Yes",C40,IF(E40="Half",C40/2,0))</f>
        <v>0</v>
      </c>
      <c r="G40" s="5"/>
      <c r="H40" s="6">
        <f>IF(E40="Yes",0,IF(E40="Half",C40/2,C40))+IF(E40="Yes",0,(1000-ROW())/100000)</f>
        <v>2.0095999999999998</v>
      </c>
    </row>
    <row r="41" spans="1:8" x14ac:dyDescent="0.3">
      <c r="A41" s="40" t="s">
        <v>80</v>
      </c>
      <c r="B41" s="39"/>
      <c r="C41" s="46">
        <v>14</v>
      </c>
      <c r="D41" s="2"/>
      <c r="E41" s="2"/>
      <c r="F41" s="2"/>
      <c r="G41" s="46" t="s">
        <v>81</v>
      </c>
    </row>
    <row r="42" spans="1:8" ht="28.8" customHeight="1" x14ac:dyDescent="0.3">
      <c r="A42" s="7" t="s">
        <v>82</v>
      </c>
      <c r="B42" s="8" t="s">
        <v>83</v>
      </c>
      <c r="C42" s="9">
        <v>3</v>
      </c>
      <c r="D42" s="10"/>
      <c r="E42" s="11"/>
      <c r="F42" s="9">
        <f>IF(E42="Yes",C42,IF(E42="Half",C42/2,0))</f>
        <v>0</v>
      </c>
      <c r="G42" s="5"/>
      <c r="H42" s="6">
        <f>IF(E42="Yes",0,IF(E42="Half",C42/2,C42))+IF(E42="Yes",0,(1000-ROW())/100000)</f>
        <v>3.0095800000000001</v>
      </c>
    </row>
    <row r="43" spans="1:8" ht="76.05" customHeight="1" x14ac:dyDescent="0.3">
      <c r="A43" s="7" t="s">
        <v>84</v>
      </c>
      <c r="B43" s="8" t="s">
        <v>85</v>
      </c>
      <c r="C43" s="9">
        <v>4</v>
      </c>
      <c r="D43" s="10" t="s">
        <v>13</v>
      </c>
      <c r="E43" s="11"/>
      <c r="F43" s="9">
        <f>IF(E43="Yes",C43,IF(E43="Half",C43/2,0))</f>
        <v>0</v>
      </c>
      <c r="G43" s="5"/>
      <c r="H43" s="6">
        <f>IF(E43="Yes",0,IF(E43="Half",C43/2,C43))+IF(E43="Yes",0,(1000-ROW())/100000)</f>
        <v>4.0095700000000001</v>
      </c>
    </row>
    <row r="44" spans="1:8" ht="90.45" customHeight="1" x14ac:dyDescent="0.3">
      <c r="A44" s="7" t="s">
        <v>86</v>
      </c>
      <c r="B44" s="8" t="s">
        <v>87</v>
      </c>
      <c r="C44" s="9">
        <v>3</v>
      </c>
      <c r="D44" s="10"/>
      <c r="E44" s="11"/>
      <c r="F44" s="9">
        <f>IF(E44="Yes",C44,IF(E44="Half",C44/2,0))</f>
        <v>0</v>
      </c>
      <c r="G44" s="5"/>
      <c r="H44" s="6">
        <f>IF(E44="Yes",0,IF(E44="Half",C44/2,C44))+IF(E44="Yes",0,(1000-ROW())/100000)</f>
        <v>3.00956</v>
      </c>
    </row>
    <row r="45" spans="1:8" ht="28.8" customHeight="1" x14ac:dyDescent="0.3">
      <c r="A45" s="7" t="s">
        <v>88</v>
      </c>
      <c r="B45" s="8" t="s">
        <v>89</v>
      </c>
      <c r="C45" s="9">
        <v>2</v>
      </c>
      <c r="D45" s="10"/>
      <c r="E45" s="11"/>
      <c r="F45" s="9">
        <f>IF(E45="Yes",C45,IF(E45="Half",C45/2,0))</f>
        <v>0</v>
      </c>
      <c r="G45" s="5"/>
      <c r="H45" s="6">
        <f>IF(E45="Yes",0,IF(E45="Half",C45/2,C45))+IF(E45="Yes",0,(1000-ROW())/100000)</f>
        <v>2.0095499999999999</v>
      </c>
    </row>
    <row r="46" spans="1:8" ht="28.8" customHeight="1" x14ac:dyDescent="0.3">
      <c r="A46" s="7" t="s">
        <v>90</v>
      </c>
      <c r="B46" s="8" t="s">
        <v>91</v>
      </c>
      <c r="C46" s="9">
        <v>2</v>
      </c>
      <c r="D46" s="10"/>
      <c r="E46" s="11"/>
      <c r="F46" s="9">
        <f>IF(E46="Yes",C46,IF(E46="Half",C46/2,0))</f>
        <v>0</v>
      </c>
      <c r="G46" s="5"/>
      <c r="H46" s="6">
        <f>IF(E46="Yes",0,IF(E46="Half",C46/2,C46))+IF(E46="Yes",0,(1000-ROW())/100000)</f>
        <v>2.0095399999999999</v>
      </c>
    </row>
    <row r="47" spans="1:8" x14ac:dyDescent="0.3">
      <c r="A47" s="40" t="s">
        <v>92</v>
      </c>
      <c r="B47" s="39"/>
      <c r="C47" s="46">
        <v>12</v>
      </c>
      <c r="D47" s="2"/>
      <c r="E47" s="2"/>
      <c r="F47" s="2"/>
      <c r="G47" s="46" t="s">
        <v>93</v>
      </c>
    </row>
    <row r="48" spans="1:8" ht="28.8" customHeight="1" x14ac:dyDescent="0.3">
      <c r="A48" s="7" t="s">
        <v>94</v>
      </c>
      <c r="B48" s="8" t="s">
        <v>95</v>
      </c>
      <c r="C48" s="9">
        <v>3</v>
      </c>
      <c r="D48" s="10"/>
      <c r="E48" s="11"/>
      <c r="F48" s="9">
        <f>IF(E48="Yes",C48,IF(E48="Half",C48/2,0))</f>
        <v>0</v>
      </c>
      <c r="G48" s="5"/>
      <c r="H48" s="6">
        <f>IF(E48="Yes",0,IF(E48="Half",C48/2,C48))+IF(E48="Yes",0,(1000-ROW())/100000)</f>
        <v>3.0095200000000002</v>
      </c>
    </row>
    <row r="49" spans="1:8" ht="57.6" customHeight="1" x14ac:dyDescent="0.3">
      <c r="A49" s="7" t="s">
        <v>96</v>
      </c>
      <c r="B49" s="8" t="s">
        <v>97</v>
      </c>
      <c r="C49" s="9">
        <v>4</v>
      </c>
      <c r="D49" s="10" t="s">
        <v>13</v>
      </c>
      <c r="E49" s="11"/>
      <c r="F49" s="9">
        <f>IF(E49="Yes",C49,IF(E49="Half",C49/2,0))</f>
        <v>0</v>
      </c>
      <c r="G49" s="5"/>
      <c r="H49" s="6">
        <f>IF(E49="Yes",0,IF(E49="Half",C49/2,C49))+IF(E49="Yes",0,(1000-ROW())/100000)</f>
        <v>4.0095099999999997</v>
      </c>
    </row>
    <row r="50" spans="1:8" ht="43.2" customHeight="1" x14ac:dyDescent="0.3">
      <c r="A50" s="7" t="s">
        <v>98</v>
      </c>
      <c r="B50" s="8" t="s">
        <v>99</v>
      </c>
      <c r="C50" s="9">
        <v>3</v>
      </c>
      <c r="D50" s="10"/>
      <c r="E50" s="11"/>
      <c r="F50" s="9">
        <f>IF(E50="Yes",C50,IF(E50="Half",C50/2,0))</f>
        <v>0</v>
      </c>
      <c r="G50" s="5"/>
      <c r="H50" s="6">
        <f>IF(E50="Yes",0,IF(E50="Half",C50/2,C50))+IF(E50="Yes",0,(1000-ROW())/100000)</f>
        <v>3.0095000000000001</v>
      </c>
    </row>
    <row r="51" spans="1:8" ht="43.2" customHeight="1" x14ac:dyDescent="0.3">
      <c r="A51" s="7" t="s">
        <v>100</v>
      </c>
      <c r="B51" s="8" t="s">
        <v>101</v>
      </c>
      <c r="C51" s="9">
        <v>2</v>
      </c>
      <c r="D51" s="10"/>
      <c r="E51" s="11"/>
      <c r="F51" s="9">
        <f>IF(E51="Yes",C51,IF(E51="Half",C51/2,0))</f>
        <v>0</v>
      </c>
      <c r="G51" s="5"/>
      <c r="H51" s="6">
        <f>IF(E51="Yes",0,IF(E51="Half",C51/2,C51))+IF(E51="Yes",0,(1000-ROW())/100000)</f>
        <v>2.00949</v>
      </c>
    </row>
    <row r="53" spans="1:8" x14ac:dyDescent="0.3">
      <c r="A53" s="38" t="s">
        <v>102</v>
      </c>
      <c r="B53" s="39"/>
      <c r="C53" s="43" t="str">
        <f>IF(OR(E4="",E5=""),"Fill length &amp; same-day",IF(AND(E4&gt;=15,E4&lt;=25,E5="Yes"),"YES","NO — not accepted"))</f>
        <v>Fill length &amp; same-day</v>
      </c>
      <c r="D53" s="42"/>
      <c r="E53" s="42"/>
      <c r="F53" s="42"/>
      <c r="G53" s="39"/>
    </row>
    <row r="54" spans="1:8" x14ac:dyDescent="0.3">
      <c r="A54" s="38" t="s">
        <v>103</v>
      </c>
      <c r="B54" s="39"/>
      <c r="C54" s="43">
        <v>100</v>
      </c>
      <c r="D54" s="42"/>
      <c r="E54" s="42"/>
      <c r="F54" s="42"/>
      <c r="G54" s="39"/>
    </row>
    <row r="55" spans="1:8" x14ac:dyDescent="0.3">
      <c r="A55" s="38" t="s">
        <v>104</v>
      </c>
      <c r="B55" s="39"/>
      <c r="C55" s="43">
        <f>SUM(F11:F51)</f>
        <v>0</v>
      </c>
      <c r="D55" s="42"/>
      <c r="E55" s="42"/>
      <c r="F55" s="42"/>
      <c r="G55" s="39"/>
    </row>
    <row r="56" spans="1:8" x14ac:dyDescent="0.3">
      <c r="A56" s="38" t="s">
        <v>105</v>
      </c>
      <c r="B56" s="39"/>
      <c r="C56" s="43">
        <f>ROUND(C55/C54*100,0)</f>
        <v>0</v>
      </c>
      <c r="D56" s="42"/>
      <c r="E56" s="42"/>
      <c r="F56" s="42"/>
      <c r="G56" s="39"/>
    </row>
    <row r="57" spans="1:8" x14ac:dyDescent="0.3">
      <c r="A57" s="38" t="s">
        <v>106</v>
      </c>
      <c r="B57" s="39"/>
      <c r="C57" s="43">
        <f>IF(E12&lt;&gt;"Yes",1,0)+IF(E17&lt;&gt;"Yes",1,0)+IF(E23&lt;&gt;"Yes",1,0)+IF(E24&lt;&gt;"Yes",1,0)+IF(E32&lt;&gt;"Yes",1,0)+IF(E38&lt;&gt;"Yes",1,0)+IF(E39&lt;&gt;"Yes",1,0)+IF(E43&lt;&gt;"Yes",1,0)+IF(E49&lt;&gt;"Yes",1,0)</f>
        <v>9</v>
      </c>
      <c r="D57" s="42"/>
      <c r="E57" s="42"/>
      <c r="F57" s="42"/>
      <c r="G57" s="39"/>
    </row>
    <row r="58" spans="1:8" x14ac:dyDescent="0.3">
      <c r="A58" s="38" t="s">
        <v>107</v>
      </c>
      <c r="B58" s="39"/>
      <c r="C58" s="43" t="str">
        <f>IF(C57=0,"None",_xlfn.TEXTJOIN(", ",TRUE(),IF(E12&lt;&gt;"Yes",A12,""),IF(E17&lt;&gt;"Yes",A17,""),IF(E23&lt;&gt;"Yes",A23,""),IF(E24&lt;&gt;"Yes",A24,""),IF(E32&lt;&gt;"Yes",A32,""),IF(E38&lt;&gt;"Yes",A38,""),IF(E39&lt;&gt;"Yes",A39,""),IF(E43&lt;&gt;"Yes",A43,""),IF(E49&lt;&gt;"Yes",A49,"")))</f>
        <v>A2, B1, B7, B8, D1, E2, E3, F2, G2</v>
      </c>
      <c r="D58" s="42"/>
      <c r="E58" s="42"/>
      <c r="F58" s="42"/>
      <c r="G58" s="39"/>
    </row>
    <row r="59" spans="1:8" x14ac:dyDescent="0.3">
      <c r="A59" s="38" t="s">
        <v>108</v>
      </c>
      <c r="B59" s="39"/>
      <c r="C59" s="43" t="str">
        <f>IF(C53&lt;&gt;"YES","NOT ACCEPTED — recording under 15 min / over 25 min / not same day. Record again.",IF(C57&gt;0,"NOT ACCEPTED — MUST item(s) missed: "&amp;C58&amp;". Record the missed points again.",IF(C56&gt;=90,"EXCELLENT — accepted. Score "&amp;C56&amp;"/100.",IF(C56&gt;=75,"ACCEPTED — Score "&amp;C56&amp;"/100. See My Result for what to do better.","NOT ACCEPTED — Score "&amp;C56&amp;"/100 is below 75. Record the missed points again."))))</f>
        <v>NOT ACCEPTED — recording under 15 min / over 25 min / not same day. Record again.</v>
      </c>
      <c r="D59" s="42"/>
      <c r="E59" s="42"/>
      <c r="F59" s="42"/>
      <c r="G59" s="39"/>
    </row>
  </sheetData>
  <mergeCells count="31">
    <mergeCell ref="C5:D5"/>
    <mergeCell ref="A36:B36"/>
    <mergeCell ref="E6:G6"/>
    <mergeCell ref="C55:G55"/>
    <mergeCell ref="A56:B56"/>
    <mergeCell ref="A55:B55"/>
    <mergeCell ref="C56:G56"/>
    <mergeCell ref="C54:G54"/>
    <mergeCell ref="E7:G7"/>
    <mergeCell ref="A26:B26"/>
    <mergeCell ref="C6:D6"/>
    <mergeCell ref="A59:B59"/>
    <mergeCell ref="C58:G58"/>
    <mergeCell ref="C59:G59"/>
    <mergeCell ref="A58:B58"/>
    <mergeCell ref="A1:G1"/>
    <mergeCell ref="A57:B57"/>
    <mergeCell ref="A47:B47"/>
    <mergeCell ref="A53:B53"/>
    <mergeCell ref="C7:D7"/>
    <mergeCell ref="E5:G5"/>
    <mergeCell ref="A10:B10"/>
    <mergeCell ref="C57:G57"/>
    <mergeCell ref="A2:G2"/>
    <mergeCell ref="E4:G4"/>
    <mergeCell ref="C53:G53"/>
    <mergeCell ref="A31:B31"/>
    <mergeCell ref="C4:D4"/>
    <mergeCell ref="A16:B16"/>
    <mergeCell ref="A54:B54"/>
    <mergeCell ref="A41:B41"/>
  </mergeCells>
  <conditionalFormatting sqref="C59">
    <cfRule type="expression" dxfId="11" priority="2">
      <formula>LEFT(C59,3)="NOT"</formula>
    </cfRule>
    <cfRule type="expression" dxfId="10" priority="3">
      <formula>LEFT(C59,3)&lt;&gt;"NOT"</formula>
    </cfRule>
  </conditionalFormatting>
  <conditionalFormatting sqref="E11:E51">
    <cfRule type="cellIs" dxfId="9" priority="4" operator="equal">
      <formula>"No"</formula>
    </cfRule>
    <cfRule type="cellIs" dxfId="8" priority="5" operator="equal">
      <formula>"Half"</formula>
    </cfRule>
    <cfRule type="cellIs" dxfId="7" priority="6" operator="equal">
      <formula>"Yes"</formula>
    </cfRule>
  </conditionalFormatting>
  <dataValidations count="2">
    <dataValidation type="list" allowBlank="1" sqref="E5:E6" xr:uid="{00000000-0002-0000-0000-000000000000}">
      <formula1>"Yes,No"</formula1>
      <formula2>0</formula2>
    </dataValidation>
    <dataValidation type="list" allowBlank="1" sqref="E11:E15 E17:E25 E27:E30 E32:E35 E37:E40 E42:E46 E48:E51" xr:uid="{00000000-0002-0000-0000-000001000000}">
      <formula1>"Yes,Half,No"</formula1>
      <formula2>0</formula2>
    </dataValidation>
  </dataValidations>
  <printOptions horizontalCentered="1"/>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496"/>
    <pageSetUpPr fitToPage="1"/>
  </sheetPr>
  <dimension ref="A1:F72"/>
  <sheetViews>
    <sheetView tabSelected="1" zoomScaleNormal="100" workbookViewId="0">
      <selection activeCell="G13" sqref="G13"/>
    </sheetView>
  </sheetViews>
  <sheetFormatPr defaultColWidth="8.6640625" defaultRowHeight="14.4" x14ac:dyDescent="0.3"/>
  <cols>
    <col min="1" max="1" width="7" style="18" customWidth="1"/>
    <col min="2" max="2" width="70" style="18" customWidth="1"/>
    <col min="3" max="4" width="9" style="18" customWidth="1"/>
    <col min="5" max="5" width="12" style="18" customWidth="1"/>
    <col min="6" max="6" width="30" style="18" customWidth="1"/>
    <col min="7" max="7" width="64.109375" style="18" customWidth="1"/>
    <col min="8" max="16384" width="8.6640625" style="18"/>
  </cols>
  <sheetData>
    <row r="1" spans="1:6" ht="27.6" customHeight="1" x14ac:dyDescent="0.3">
      <c r="A1" s="20" t="s">
        <v>109</v>
      </c>
      <c r="B1" s="21"/>
      <c r="C1" s="21"/>
      <c r="D1" s="21"/>
      <c r="E1" s="21"/>
      <c r="F1" s="21"/>
    </row>
    <row r="2" spans="1:6" x14ac:dyDescent="0.3">
      <c r="A2" s="31" t="s">
        <v>110</v>
      </c>
      <c r="B2" s="21"/>
      <c r="C2" s="21"/>
      <c r="D2" s="21"/>
      <c r="E2" s="21"/>
      <c r="F2" s="21"/>
    </row>
    <row r="4" spans="1:6" x14ac:dyDescent="0.3">
      <c r="A4" s="29" t="s">
        <v>111</v>
      </c>
      <c r="B4" s="24"/>
      <c r="C4" s="28">
        <f>Scorecard!B6</f>
        <v>0</v>
      </c>
      <c r="D4" s="23"/>
      <c r="E4" s="23"/>
      <c r="F4" s="24"/>
    </row>
    <row r="5" spans="1:6" x14ac:dyDescent="0.3">
      <c r="A5" s="29" t="s">
        <v>112</v>
      </c>
      <c r="B5" s="24"/>
      <c r="C5" s="28">
        <f>Scorecard!B5</f>
        <v>0</v>
      </c>
      <c r="D5" s="23"/>
      <c r="E5" s="23"/>
      <c r="F5" s="24"/>
    </row>
    <row r="6" spans="1:6" x14ac:dyDescent="0.3">
      <c r="A6" s="29" t="s">
        <v>2</v>
      </c>
      <c r="B6" s="24"/>
      <c r="C6" s="28">
        <f>Scorecard!B4</f>
        <v>0</v>
      </c>
      <c r="D6" s="23"/>
      <c r="E6" s="23"/>
      <c r="F6" s="24"/>
    </row>
    <row r="7" spans="1:6" x14ac:dyDescent="0.3">
      <c r="A7" s="29" t="s">
        <v>113</v>
      </c>
      <c r="B7" s="24"/>
      <c r="C7" s="28">
        <f>Scorecard!B7</f>
        <v>0</v>
      </c>
      <c r="D7" s="23"/>
      <c r="E7" s="23"/>
      <c r="F7" s="24"/>
    </row>
    <row r="8" spans="1:6" x14ac:dyDescent="0.3">
      <c r="A8" s="29" t="s">
        <v>114</v>
      </c>
      <c r="B8" s="24"/>
      <c r="C8" s="34">
        <f>Scorecard!E4</f>
        <v>0</v>
      </c>
      <c r="D8" s="23"/>
      <c r="E8" s="23"/>
      <c r="F8" s="24"/>
    </row>
    <row r="9" spans="1:6" x14ac:dyDescent="0.3">
      <c r="A9" s="19"/>
      <c r="B9" s="19"/>
      <c r="C9" s="19"/>
      <c r="D9" s="19"/>
      <c r="E9" s="19"/>
      <c r="F9" s="19"/>
    </row>
    <row r="10" spans="1:6" ht="31.2" customHeight="1" x14ac:dyDescent="0.3">
      <c r="A10" s="25" t="s">
        <v>115</v>
      </c>
      <c r="B10" s="24"/>
      <c r="C10" s="30" t="str">
        <f>Scorecard!C56&amp;" / 100"</f>
        <v>0 / 100</v>
      </c>
      <c r="D10" s="23"/>
      <c r="E10" s="23"/>
      <c r="F10" s="24"/>
    </row>
    <row r="11" spans="1:6" ht="28.2" customHeight="1" x14ac:dyDescent="0.3">
      <c r="A11" s="25" t="s">
        <v>108</v>
      </c>
      <c r="B11" s="24"/>
      <c r="C11" s="26" t="str">
        <f>Scorecard!C59</f>
        <v>NOT ACCEPTED — recording under 15 min / over 25 min / not same day. Record again.</v>
      </c>
      <c r="D11" s="23"/>
      <c r="E11" s="23"/>
      <c r="F11" s="24"/>
    </row>
    <row r="12" spans="1:6" x14ac:dyDescent="0.3">
      <c r="A12" s="35" t="s">
        <v>116</v>
      </c>
      <c r="B12" s="23"/>
      <c r="C12" s="23"/>
      <c r="D12" s="23"/>
      <c r="E12" s="23"/>
      <c r="F12" s="24"/>
    </row>
    <row r="13" spans="1:6" x14ac:dyDescent="0.3">
      <c r="A13" s="19"/>
      <c r="B13" s="19"/>
      <c r="C13" s="19"/>
      <c r="D13" s="19"/>
      <c r="E13" s="19"/>
      <c r="F13" s="19"/>
    </row>
    <row r="14" spans="1:6" x14ac:dyDescent="0.3">
      <c r="A14" s="13"/>
      <c r="B14" s="13" t="s">
        <v>117</v>
      </c>
      <c r="C14" s="13" t="s">
        <v>12</v>
      </c>
      <c r="D14" s="13" t="s">
        <v>118</v>
      </c>
      <c r="E14" s="13" t="s">
        <v>119</v>
      </c>
      <c r="F14" s="13" t="s">
        <v>120</v>
      </c>
    </row>
    <row r="15" spans="1:6" x14ac:dyDescent="0.3">
      <c r="A15" s="14" t="s">
        <v>121</v>
      </c>
      <c r="B15" s="15" t="s">
        <v>122</v>
      </c>
      <c r="C15" s="16">
        <v>10</v>
      </c>
      <c r="D15" s="16">
        <f>IF(C15="N/A","N/A",SUM(Scorecard!F11:F15))</f>
        <v>0</v>
      </c>
      <c r="E15" s="16" t="str">
        <f t="shared" ref="E15:E21" si="0">IF(C15="N/A","N/A",ROUND(D15/C15*100,0)&amp;"%")</f>
        <v>0%</v>
      </c>
      <c r="F15" s="15" t="str">
        <f t="shared" ref="F15:F21" si="1">IF(C15="N/A","Not applicable in this case",IF(D15=C15,"Fully covered",IF(D15&gt;=C15*0.75,"Good — small gaps",IF(D15&gt;=C15*0.5,"Weak — see items below","Mostly missed — see items below"))))</f>
        <v>Mostly missed — see items below</v>
      </c>
    </row>
    <row r="16" spans="1:6" x14ac:dyDescent="0.3">
      <c r="A16" s="14" t="s">
        <v>123</v>
      </c>
      <c r="B16" s="15" t="s">
        <v>124</v>
      </c>
      <c r="C16" s="16">
        <v>30</v>
      </c>
      <c r="D16" s="16">
        <f>IF(C16="N/A","N/A",SUM(Scorecard!F17:F25))</f>
        <v>0</v>
      </c>
      <c r="E16" s="16" t="str">
        <f t="shared" si="0"/>
        <v>0%</v>
      </c>
      <c r="F16" s="15" t="str">
        <f t="shared" si="1"/>
        <v>Mostly missed — see items below</v>
      </c>
    </row>
    <row r="17" spans="1:6" x14ac:dyDescent="0.3">
      <c r="A17" s="14" t="s">
        <v>125</v>
      </c>
      <c r="B17" s="15" t="s">
        <v>126</v>
      </c>
      <c r="C17" s="16">
        <v>10</v>
      </c>
      <c r="D17" s="16">
        <f>IF(C17="N/A","N/A",SUM(Scorecard!F27:F30))</f>
        <v>0</v>
      </c>
      <c r="E17" s="16" t="str">
        <f t="shared" si="0"/>
        <v>0%</v>
      </c>
      <c r="F17" s="15" t="str">
        <f t="shared" si="1"/>
        <v>Mostly missed — see items below</v>
      </c>
    </row>
    <row r="18" spans="1:6" x14ac:dyDescent="0.3">
      <c r="A18" s="14" t="s">
        <v>127</v>
      </c>
      <c r="B18" s="15" t="s">
        <v>128</v>
      </c>
      <c r="C18" s="16">
        <v>12</v>
      </c>
      <c r="D18" s="16">
        <f>IF(C18="N/A","N/A",SUM(Scorecard!F32:F35))</f>
        <v>0</v>
      </c>
      <c r="E18" s="16" t="str">
        <f t="shared" si="0"/>
        <v>0%</v>
      </c>
      <c r="F18" s="15" t="str">
        <f t="shared" si="1"/>
        <v>Mostly missed — see items below</v>
      </c>
    </row>
    <row r="19" spans="1:6" x14ac:dyDescent="0.3">
      <c r="A19" s="14" t="s">
        <v>129</v>
      </c>
      <c r="B19" s="15" t="s">
        <v>130</v>
      </c>
      <c r="C19" s="16">
        <v>12</v>
      </c>
      <c r="D19" s="16">
        <f>IF(C19="N/A","N/A",SUM(Scorecard!F37:F40))</f>
        <v>0</v>
      </c>
      <c r="E19" s="16" t="str">
        <f t="shared" si="0"/>
        <v>0%</v>
      </c>
      <c r="F19" s="15" t="str">
        <f t="shared" si="1"/>
        <v>Mostly missed — see items below</v>
      </c>
    </row>
    <row r="20" spans="1:6" x14ac:dyDescent="0.3">
      <c r="A20" s="14" t="s">
        <v>131</v>
      </c>
      <c r="B20" s="15" t="s">
        <v>132</v>
      </c>
      <c r="C20" s="16">
        <v>14</v>
      </c>
      <c r="D20" s="16">
        <f>IF(C20="N/A","N/A",SUM(Scorecard!F42:F46))</f>
        <v>0</v>
      </c>
      <c r="E20" s="16" t="str">
        <f t="shared" si="0"/>
        <v>0%</v>
      </c>
      <c r="F20" s="15" t="str">
        <f t="shared" si="1"/>
        <v>Mostly missed — see items below</v>
      </c>
    </row>
    <row r="21" spans="1:6" x14ac:dyDescent="0.3">
      <c r="A21" s="14" t="s">
        <v>133</v>
      </c>
      <c r="B21" s="15" t="s">
        <v>134</v>
      </c>
      <c r="C21" s="16">
        <v>12</v>
      </c>
      <c r="D21" s="16">
        <f>IF(C21="N/A","N/A",SUM(Scorecard!F48:F51))</f>
        <v>0</v>
      </c>
      <c r="E21" s="16" t="str">
        <f t="shared" si="0"/>
        <v>0%</v>
      </c>
      <c r="F21" s="15" t="str">
        <f t="shared" si="1"/>
        <v>Mostly missed — see items below</v>
      </c>
    </row>
    <row r="22" spans="1:6" x14ac:dyDescent="0.3">
      <c r="A22" s="19"/>
      <c r="B22" s="19"/>
      <c r="C22" s="19"/>
      <c r="D22" s="19"/>
      <c r="E22" s="19"/>
      <c r="F22" s="19"/>
    </row>
    <row r="23" spans="1:6" x14ac:dyDescent="0.3">
      <c r="A23" s="33" t="s">
        <v>135</v>
      </c>
      <c r="B23" s="23"/>
      <c r="C23" s="23"/>
      <c r="D23" s="23"/>
      <c r="E23" s="23"/>
      <c r="F23" s="24"/>
    </row>
    <row r="24" spans="1:6" ht="29.4" customHeight="1" x14ac:dyDescent="0.3">
      <c r="A24" s="14">
        <v>1</v>
      </c>
      <c r="B24" s="32" t="str">
        <f>IF(LARGE(Scorecard!$H$11:$H$51,1)&lt;0.5,"—",INDEX(Scorecard!$A$11:$A$51,MATCH(LARGE(Scorecard!$H$11:$H$51,1),Scorecard!$H$11:$H$51,0))&amp;" — "&amp;INDEX(Scorecard!$B$11:$B$51,MATCH(LARGE(Scorecard!$H$11:$H$51,1),Scorecard!$H$11:$H$51,0)))</f>
        <v>B3 — PURCHASES: buys material from where; purchase bills of last 12 months seen?; % paid by bank/UPI and % by cash; TOP 5 SUPPLIERS with names and mobile numbers; credit taken from suppliers (days, amount due).</v>
      </c>
      <c r="C24" s="23"/>
      <c r="D24" s="23"/>
      <c r="E24" s="24"/>
      <c r="F24" s="12" t="str">
        <f>IF(LARGE(Scorecard!$H$11:$H$51,1)&lt;0.5,"",  "Points lost: "&amp;ROUND(LARGE(Scorecard!$H$11:$H$51,1),1))</f>
        <v>Points lost: 4</v>
      </c>
    </row>
    <row r="25" spans="1:6" ht="29.4" customHeight="1" x14ac:dyDescent="0.3">
      <c r="A25" s="14">
        <v>2</v>
      </c>
      <c r="B25" s="32" t="str">
        <f>IF(LARGE(Scorecard!$H$11:$H$51,2)&lt;0.5,"—",INDEX(Scorecard!$A$11:$A$51,MATCH(LARGE(Scorecard!$H$11:$H$51,2),Scorecard!$H$11:$H$51,0))&amp;" — "&amp;INDEX(Scorecard!$B$11:$B$51,MATCH(LARGE(Scorecard!$H$11:$H$51,2),Scorecard!$H$11:$H$51,0)))</f>
        <v>B4 — SALES: who buys; % received in cash and % by UPI; QR code / UPI is in WHOSE name; sales today and average daily sales; average monthly sales; lean months and daily sales in lean months; udhaar (credit) given to customers — how much.</v>
      </c>
      <c r="C25" s="23"/>
      <c r="D25" s="23"/>
      <c r="E25" s="24"/>
      <c r="F25" s="12" t="str">
        <f>IF(LARGE(Scorecard!$H$11:$H$51,2)&lt;0.5,"",  "Points lost: "&amp;ROUND(LARGE(Scorecard!$H$11:$H$51,2),1))</f>
        <v>Points lost: 4</v>
      </c>
    </row>
    <row r="26" spans="1:6" ht="30" customHeight="1" x14ac:dyDescent="0.3">
      <c r="A26" s="14">
        <v>3</v>
      </c>
      <c r="B26" s="32" t="str">
        <f>IF(LARGE(Scorecard!$H$11:$H$51,3)&lt;0.5,"—",INDEX(Scorecard!$A$11:$A$51,MATCH(LARGE(Scorecard!$H$11:$H$51,3),Scorecard!$H$11:$H$51,0))&amp;" — "&amp;INDEX(Scorecard!$B$11:$B$51,MATCH(LARGE(Scorecard!$H$11:$H$51,3),Scorecard!$H$11:$H$51,0)))</f>
        <v>B6 — INCOME — BALL-PARK only (no detailed maths needed at PD): (1) what the CUSTOMER says his monthly income from the business is, and (2) what YOU think the monthly income is, as a rough figure. Both numbers must be said.</v>
      </c>
      <c r="C26" s="23"/>
      <c r="D26" s="23"/>
      <c r="E26" s="24"/>
      <c r="F26" s="12" t="str">
        <f>IF(LARGE(Scorecard!$H$11:$H$51,3)&lt;0.5,"",  "Points lost: "&amp;ROUND(LARGE(Scorecard!$H$11:$H$51,3),1))</f>
        <v>Points lost: 4</v>
      </c>
    </row>
    <row r="27" spans="1:6" x14ac:dyDescent="0.3">
      <c r="A27" s="19"/>
      <c r="B27" s="19"/>
      <c r="C27" s="19"/>
      <c r="D27" s="19"/>
      <c r="E27" s="19"/>
      <c r="F27" s="19"/>
    </row>
    <row r="28" spans="1:6" x14ac:dyDescent="0.3">
      <c r="A28" s="13" t="s">
        <v>10</v>
      </c>
      <c r="B28" s="13" t="s">
        <v>136</v>
      </c>
      <c r="C28" s="13" t="s">
        <v>12</v>
      </c>
      <c r="D28" s="13" t="s">
        <v>118</v>
      </c>
      <c r="E28" s="13" t="s">
        <v>137</v>
      </c>
      <c r="F28" s="13" t="s">
        <v>138</v>
      </c>
    </row>
    <row r="29" spans="1:6" x14ac:dyDescent="0.3">
      <c r="A29" s="22" t="s">
        <v>18</v>
      </c>
      <c r="B29" s="23"/>
      <c r="C29" s="23"/>
      <c r="D29" s="23"/>
      <c r="E29" s="23"/>
      <c r="F29" s="24"/>
    </row>
    <row r="30" spans="1:6" ht="28.8" x14ac:dyDescent="0.3">
      <c r="A30" s="14" t="s">
        <v>20</v>
      </c>
      <c r="B30" s="15" t="str">
        <f>Scorecard!B11</f>
        <v>Start with: Application ID, customer name, village/town, loan amount asked. Say that you checked the CRIF report and BPS score before going.</v>
      </c>
      <c r="C30" s="16">
        <f>Scorecard!C11</f>
        <v>2</v>
      </c>
      <c r="D30" s="16">
        <f>Scorecard!F11</f>
        <v>0</v>
      </c>
      <c r="E30" s="14" t="str">
        <f>IF(Scorecard!E11="Yes","✔ Said",IF(Scorecard!E11="Half","½ Half",IF(Scorecard!E11="No","✘ MISSED","?")))</f>
        <v>?</v>
      </c>
      <c r="F30" s="15" t="str">
        <f>IF(Scorecard!G11="","",Scorecard!G11)</f>
        <v/>
      </c>
    </row>
    <row r="31" spans="1:6" ht="28.8" x14ac:dyDescent="0.3">
      <c r="A31" s="17" t="s">
        <v>139</v>
      </c>
      <c r="B31" s="15" t="str">
        <f>Scorecard!B12</f>
        <v>Say that you met the BORROWER HIMSELF at his business — not on phone, not through a relative. Date, time, and who came with you.</v>
      </c>
      <c r="C31" s="16">
        <f>Scorecard!C12</f>
        <v>2</v>
      </c>
      <c r="D31" s="16">
        <f>Scorecard!F12</f>
        <v>0</v>
      </c>
      <c r="E31" s="14" t="str">
        <f>IF(Scorecard!E12="Yes","✔ Said",IF(Scorecard!E12="Half","½ Half",IF(Scorecard!E12="No","✘ MISSED","?")))</f>
        <v>?</v>
      </c>
      <c r="F31" s="15" t="str">
        <f>IF(Scorecard!G12="","",Scorecard!G12)</f>
        <v/>
      </c>
    </row>
    <row r="32" spans="1:6" ht="28.8" x14ac:dyDescent="0.3">
      <c r="A32" s="14" t="s">
        <v>24</v>
      </c>
      <c r="B32" s="15" t="str">
        <f>Scorecard!B13</f>
        <v>Time spent: business (start–end) and home (start–end). Total must be at least 1 hour (normally 1 to 1.5 hours).</v>
      </c>
      <c r="C32" s="16">
        <f>Scorecard!C13</f>
        <v>2</v>
      </c>
      <c r="D32" s="16">
        <f>Scorecard!F13</f>
        <v>0</v>
      </c>
      <c r="E32" s="14" t="str">
        <f>IF(Scorecard!E13="Yes","✔ Said",IF(Scorecard!E13="Half","½ Half",IF(Scorecard!E13="No","✘ MISSED","?")))</f>
        <v>?</v>
      </c>
      <c r="F32" s="15" t="str">
        <f>IF(Scorecard!G13="","",Scorecard!G13)</f>
        <v/>
      </c>
    </row>
    <row r="33" spans="1:6" ht="28.8" x14ac:dyDescent="0.3">
      <c r="A33" s="14" t="s">
        <v>26</v>
      </c>
      <c r="B33" s="15" t="str">
        <f>Scorecard!B14</f>
        <v>Home and property visited (say if home and property are the same house). Co-borrower and family met at home.</v>
      </c>
      <c r="C33" s="16">
        <f>Scorecard!C14</f>
        <v>2</v>
      </c>
      <c r="D33" s="16">
        <f>Scorecard!F14</f>
        <v>0</v>
      </c>
      <c r="E33" s="14" t="str">
        <f>IF(Scorecard!E14="Yes","✔ Said",IF(Scorecard!E14="Half","½ Half",IF(Scorecard!E14="No","✘ MISSED","?")))</f>
        <v>?</v>
      </c>
      <c r="F33" s="15" t="str">
        <f>IF(Scorecard!G14="","",Scorecard!G14)</f>
        <v/>
      </c>
    </row>
    <row r="34" spans="1:6" ht="57.6" x14ac:dyDescent="0.3">
      <c r="A34" s="14" t="s">
        <v>28</v>
      </c>
      <c r="B34" s="15" t="str">
        <f>Scorecard!B15</f>
        <v>Photos taken and uploaded: signboard, QR code, FULL stock, purchase bills, sales bills / register / khata, mandi receipts, every room of the house, household items, electricity meter, both business neighbours, both home neighbours, land / animals (if any), property papers.</v>
      </c>
      <c r="C34" s="16">
        <f>Scorecard!C15</f>
        <v>2</v>
      </c>
      <c r="D34" s="16">
        <f>Scorecard!F15</f>
        <v>0</v>
      </c>
      <c r="E34" s="14" t="str">
        <f>IF(Scorecard!E15="Yes","✔ Said",IF(Scorecard!E15="Half","½ Half",IF(Scorecard!E15="No","✘ MISSED","?")))</f>
        <v>?</v>
      </c>
      <c r="F34" s="15" t="str">
        <f>IF(Scorecard!G15="","",Scorecard!G15)</f>
        <v/>
      </c>
    </row>
    <row r="35" spans="1:6" x14ac:dyDescent="0.3">
      <c r="A35" s="22" t="s">
        <v>140</v>
      </c>
      <c r="B35" s="23"/>
      <c r="C35" s="23"/>
      <c r="D35" s="23"/>
      <c r="E35" s="23"/>
      <c r="F35" s="24"/>
    </row>
    <row r="36" spans="1:6" ht="43.2" x14ac:dyDescent="0.3">
      <c r="A36" s="17" t="s">
        <v>141</v>
      </c>
      <c r="B36" s="15" t="str">
        <f>Scorecard!B17</f>
        <v>What you SAW: shop/unit size, how much stock, how many staff, customers during your visit, machines, signboard. Every business visited — including one run by wife, son, father.</v>
      </c>
      <c r="C36" s="16">
        <f>Scorecard!C17</f>
        <v>3</v>
      </c>
      <c r="D36" s="16">
        <f>Scorecard!F17</f>
        <v>0</v>
      </c>
      <c r="E36" s="14" t="str">
        <f>IF(Scorecard!E17="Yes","✔ Said",IF(Scorecard!E17="Half","½ Half",IF(Scorecard!E17="No","✘ MISSED","?")))</f>
        <v>?</v>
      </c>
      <c r="F36" s="15" t="str">
        <f>IF(Scorecard!G17="","",Scorecard!G17)</f>
        <v/>
      </c>
    </row>
    <row r="37" spans="1:6" ht="43.2" x14ac:dyDescent="0.3">
      <c r="A37" s="14" t="s">
        <v>34</v>
      </c>
      <c r="B37" s="15" t="str">
        <f>Scorecard!B18</f>
        <v>Who actually runs it; running since which year; what the borrower did BEFORE this; new business or family business for generations; shop owned or rented (rent, years here); licence seen (Udyam / Gumasta / GST / FSSAI).</v>
      </c>
      <c r="C37" s="16">
        <f>Scorecard!C18</f>
        <v>3</v>
      </c>
      <c r="D37" s="16">
        <f>Scorecard!F18</f>
        <v>0</v>
      </c>
      <c r="E37" s="14" t="str">
        <f>IF(Scorecard!E18="Yes","✔ Said",IF(Scorecard!E18="Half","½ Half",IF(Scorecard!E18="No","✘ MISSED","?")))</f>
        <v>?</v>
      </c>
      <c r="F37" s="15" t="str">
        <f>IF(Scorecard!G18="","",Scorecard!G18)</f>
        <v/>
      </c>
    </row>
    <row r="38" spans="1:6" ht="43.2" x14ac:dyDescent="0.3">
      <c r="A38" s="14" t="s">
        <v>36</v>
      </c>
      <c r="B38" s="15" t="str">
        <f>Scorecard!B19</f>
        <v>PURCHASES: buys material from where; purchase bills of last 12 months seen?; % paid by bank/UPI and % by cash; TOP 5 SUPPLIERS with names and mobile numbers; credit taken from suppliers (days, amount due).</v>
      </c>
      <c r="C38" s="16">
        <f>Scorecard!C19</f>
        <v>4</v>
      </c>
      <c r="D38" s="16">
        <f>Scorecard!F19</f>
        <v>0</v>
      </c>
      <c r="E38" s="14" t="str">
        <f>IF(Scorecard!E19="Yes","✔ Said",IF(Scorecard!E19="Half","½ Half",IF(Scorecard!E19="No","✘ MISSED","?")))</f>
        <v>?</v>
      </c>
      <c r="F38" s="15" t="str">
        <f>IF(Scorecard!G19="","",Scorecard!G19)</f>
        <v/>
      </c>
    </row>
    <row r="39" spans="1:6" ht="43.2" x14ac:dyDescent="0.3">
      <c r="A39" s="14" t="s">
        <v>38</v>
      </c>
      <c r="B39" s="15" t="str">
        <f>Scorecard!B20</f>
        <v>SALES: who buys; % received in cash and % by UPI; QR code / UPI is in WHOSE name; sales today and average daily sales; average monthly sales; lean months and daily sales in lean months; udhaar (credit) given to customers — how much.</v>
      </c>
      <c r="C39" s="16">
        <f>Scorecard!C20</f>
        <v>4</v>
      </c>
      <c r="D39" s="16">
        <f>Scorecard!F20</f>
        <v>0</v>
      </c>
      <c r="E39" s="14" t="str">
        <f>IF(Scorecard!E20="Yes","✔ Said",IF(Scorecard!E20="Half","½ Half",IF(Scorecard!E20="No","✘ MISSED","?")))</f>
        <v>?</v>
      </c>
      <c r="F39" s="15" t="str">
        <f>IF(Scorecard!G20="","",Scorecard!G20)</f>
        <v/>
      </c>
    </row>
    <row r="40" spans="1:6" x14ac:dyDescent="0.3">
      <c r="A40" s="14" t="s">
        <v>40</v>
      </c>
      <c r="B40" s="15" t="str">
        <f>Scorecard!B21</f>
        <v>STOCK: you counted the stock yourself — your value (Rs.) vs what the customer says.</v>
      </c>
      <c r="C40" s="16">
        <f>Scorecard!C21</f>
        <v>2</v>
      </c>
      <c r="D40" s="16">
        <f>Scorecard!F21</f>
        <v>0</v>
      </c>
      <c r="E40" s="14" t="str">
        <f>IF(Scorecard!E21="Yes","✔ Said",IF(Scorecard!E21="Half","½ Half",IF(Scorecard!E21="No","✘ MISSED","?")))</f>
        <v>?</v>
      </c>
      <c r="F40" s="15" t="str">
        <f>IF(Scorecard!G21="","",Scorecard!G21)</f>
        <v/>
      </c>
    </row>
    <row r="41" spans="1:6" ht="43.2" x14ac:dyDescent="0.3">
      <c r="A41" s="14" t="s">
        <v>42</v>
      </c>
      <c r="B41" s="15" t="str">
        <f>Scorecard!B22</f>
        <v>INCOME — BALL-PARK only (no detailed maths needed at PD): (1) what the CUSTOMER says his monthly income from the business is, and (2) what YOU think the monthly income is, as a rough figure. Both numbers must be said.</v>
      </c>
      <c r="C41" s="16">
        <f>Scorecard!C22</f>
        <v>4</v>
      </c>
      <c r="D41" s="16">
        <f>Scorecard!F22</f>
        <v>0</v>
      </c>
      <c r="E41" s="14" t="str">
        <f>IF(Scorecard!E22="Yes","✔ Said",IF(Scorecard!E22="Half","½ Half",IF(Scorecard!E22="No","✘ MISSED","?")))</f>
        <v>?</v>
      </c>
      <c r="F41" s="15" t="str">
        <f>IF(Scorecard!G22="","",Scorecard!G22)</f>
        <v/>
      </c>
    </row>
    <row r="42" spans="1:6" ht="43.2" x14ac:dyDescent="0.3">
      <c r="A42" s="17" t="s">
        <v>142</v>
      </c>
      <c r="B42" s="15" t="str">
        <f>Scorecard!B23</f>
        <v>AA (Account Aggregator) triggered on PRAGATI for ALL bank accounts of borrower and co-borrowers — name each account and say SUCCESS or FAILED for each. Documents seen: bills, register, khata, passbook, kata parchi.</v>
      </c>
      <c r="C42" s="16">
        <f>Scorecard!C23</f>
        <v>3</v>
      </c>
      <c r="D42" s="16">
        <f>Scorecard!F23</f>
        <v>0</v>
      </c>
      <c r="E42" s="14" t="str">
        <f>IF(Scorecard!E23="Yes","✔ Said",IF(Scorecard!E23="Half","½ Half",IF(Scorecard!E23="No","✘ MISSED","?")))</f>
        <v>?</v>
      </c>
      <c r="F42" s="15" t="str">
        <f>IF(Scorecard!G23="","",Scorecard!G23)</f>
        <v/>
      </c>
    </row>
    <row r="43" spans="1:6" ht="28.8" x14ac:dyDescent="0.3">
      <c r="A43" s="17" t="s">
        <v>143</v>
      </c>
      <c r="B43" s="15" t="str">
        <f>Scorecard!B24</f>
        <v>2 BUSINESS NEIGHBOURS: name, shop, mobile number, how long this business is running here, what they said about the customer. Photos taken.</v>
      </c>
      <c r="C43" s="16">
        <f>Scorecard!C24</f>
        <v>4</v>
      </c>
      <c r="D43" s="16">
        <f>Scorecard!F24</f>
        <v>0</v>
      </c>
      <c r="E43" s="14" t="str">
        <f>IF(Scorecard!E24="Yes","✔ Said",IF(Scorecard!E24="Half","½ Half",IF(Scorecard!E24="No","✘ MISSED","?")))</f>
        <v>?</v>
      </c>
      <c r="F43" s="15" t="str">
        <f>IF(Scorecard!G24="","",Scorecard!G24)</f>
        <v/>
      </c>
    </row>
    <row r="44" spans="1:6" ht="28.8" x14ac:dyDescent="0.3">
      <c r="A44" s="14" t="s">
        <v>48</v>
      </c>
      <c r="B44" s="15" t="str">
        <f>Scorecard!B25</f>
        <v>YOUR VIEW on each business: genuine and running — or doubt (borrowed stock, arranged setup, too small for the claim). Say it clearly.</v>
      </c>
      <c r="C44" s="16">
        <f>Scorecard!C25</f>
        <v>3</v>
      </c>
      <c r="D44" s="16">
        <f>Scorecard!F25</f>
        <v>0</v>
      </c>
      <c r="E44" s="14" t="str">
        <f>IF(Scorecard!E25="Yes","✔ Said",IF(Scorecard!E25="Half","½ Half",IF(Scorecard!E25="No","✘ MISSED","?")))</f>
        <v>?</v>
      </c>
      <c r="F44" s="15" t="str">
        <f>IF(Scorecard!G25="","",Scorecard!G25)</f>
        <v/>
      </c>
    </row>
    <row r="45" spans="1:6" x14ac:dyDescent="0.3">
      <c r="A45" s="22" t="s">
        <v>144</v>
      </c>
      <c r="B45" s="23"/>
      <c r="C45" s="23"/>
      <c r="D45" s="23"/>
      <c r="E45" s="23"/>
      <c r="F45" s="24"/>
    </row>
    <row r="46" spans="1:6" ht="57.6" x14ac:dyDescent="0.3">
      <c r="A46" s="14" t="s">
        <v>52</v>
      </c>
      <c r="B46" s="15" t="str">
        <f>Scorecard!B27</f>
        <v>LAND: is there agriculture land — YES or NO? If NO land, and the BCM says so clearly → mark YES (full points; no Khasra / land details needed). If land is there: how many acres, in whose name, and does the family cultivate it themselves or give it to someone else.</v>
      </c>
      <c r="C46" s="16">
        <f>Scorecard!C27</f>
        <v>3</v>
      </c>
      <c r="D46" s="16">
        <f>Scorecard!F27</f>
        <v>0</v>
      </c>
      <c r="E46" s="14" t="str">
        <f>IF(Scorecard!E27="Yes","✔ Said",IF(Scorecard!E27="Half","½ Half",IF(Scorecard!E27="No","✘ MISSED","?")))</f>
        <v>?</v>
      </c>
      <c r="F46" s="15" t="str">
        <f>IF(Scorecard!G27="","",Scorecard!G27)</f>
        <v/>
      </c>
    </row>
    <row r="47" spans="1:6" ht="28.8" x14ac:dyDescent="0.3">
      <c r="A47" s="14" t="s">
        <v>54</v>
      </c>
      <c r="B47" s="15" t="str">
        <f>Scorecard!B28</f>
        <v>CROPS: how many crops a year, and the profit per season after all expenses. If the BCM has said there is NO land → mark YES (full points).</v>
      </c>
      <c r="C47" s="16">
        <f>Scorecard!C28</f>
        <v>3</v>
      </c>
      <c r="D47" s="16">
        <f>Scorecard!F28</f>
        <v>0</v>
      </c>
      <c r="E47" s="14" t="str">
        <f>IF(Scorecard!E28="Yes","✔ Said",IF(Scorecard!E28="Half","½ Half",IF(Scorecard!E28="No","✘ MISSED","?")))</f>
        <v>?</v>
      </c>
      <c r="F47" s="15" t="str">
        <f>IF(Scorecard!G28="","",Scorecard!G28)</f>
        <v/>
      </c>
    </row>
    <row r="48" spans="1:6" ht="43.2" x14ac:dyDescent="0.3">
      <c r="A48" s="14" t="s">
        <v>56</v>
      </c>
      <c r="B48" s="15" t="str">
        <f>Scorecard!B29</f>
        <v>DAIRY: any dairy animals — YES or NO? If yes: how many are milking, litres of milk per day sold, and where it is sold. If the BCM says clearly there are NO dairy animals → mark YES (full points).</v>
      </c>
      <c r="C48" s="16">
        <f>Scorecard!C29</f>
        <v>2</v>
      </c>
      <c r="D48" s="16">
        <f>Scorecard!F29</f>
        <v>0</v>
      </c>
      <c r="E48" s="14" t="str">
        <f>IF(Scorecard!E29="Yes","✔ Said",IF(Scorecard!E29="Half","½ Half",IF(Scorecard!E29="No","✘ MISSED","?")))</f>
        <v>?</v>
      </c>
      <c r="F48" s="15" t="str">
        <f>IF(Scorecard!G29="","",Scorecard!G29)</f>
        <v/>
      </c>
    </row>
    <row r="49" spans="1:6" ht="43.2" x14ac:dyDescent="0.3">
      <c r="A49" s="14" t="s">
        <v>58</v>
      </c>
      <c r="B49" s="15" t="str">
        <f>Scorecard!B30</f>
        <v>OTHER INCOME of the WHOLE FAMILY (other than the main business, farm and dairy): each source of income, who in the family earns it, and any proof available. If there is no other income and the BCM says so clearly → mark YES (full points).</v>
      </c>
      <c r="C49" s="16">
        <f>Scorecard!C30</f>
        <v>2</v>
      </c>
      <c r="D49" s="16">
        <f>Scorecard!F30</f>
        <v>0</v>
      </c>
      <c r="E49" s="14" t="str">
        <f>IF(Scorecard!E30="Yes","✔ Said",IF(Scorecard!E30="Half","½ Half",IF(Scorecard!E30="No","✘ MISSED","?")))</f>
        <v>?</v>
      </c>
      <c r="F49" s="15" t="str">
        <f>IF(Scorecard!G30="","",Scorecard!G30)</f>
        <v/>
      </c>
    </row>
    <row r="50" spans="1:6" x14ac:dyDescent="0.3">
      <c r="A50" s="22" t="s">
        <v>60</v>
      </c>
      <c r="B50" s="23"/>
      <c r="C50" s="23"/>
      <c r="D50" s="23"/>
      <c r="E50" s="23"/>
      <c r="F50" s="24"/>
    </row>
    <row r="51" spans="1:6" ht="28.8" x14ac:dyDescent="0.3">
      <c r="A51" s="17" t="s">
        <v>145</v>
      </c>
      <c r="B51" s="15" t="str">
        <f>Scorecard!B32</f>
        <v>All ACTIVE loans in the CRIF of borrower and co-borrowers — lender, EMI, outstanding — discussed with the customer. Closed loans need NOT be discussed.</v>
      </c>
      <c r="C51" s="16">
        <f>Scorecard!C32</f>
        <v>4</v>
      </c>
      <c r="D51" s="16">
        <f>Scorecard!F32</f>
        <v>0</v>
      </c>
      <c r="E51" s="14" t="str">
        <f>IF(Scorecard!E32="Yes","✔ Said",IF(Scorecard!E32="Half","½ Half",IF(Scorecard!E32="No","✘ MISSED","?")))</f>
        <v>?</v>
      </c>
      <c r="F51" s="15" t="str">
        <f>IF(Scorecard!G32="","",Scorecard!G32)</f>
        <v/>
      </c>
    </row>
    <row r="52" spans="1:6" ht="43.2" x14ac:dyDescent="0.3">
      <c r="A52" s="14" t="s">
        <v>64</v>
      </c>
      <c r="B52" s="15" t="str">
        <f>Scorecard!B33</f>
        <v>DEFAULTS: loans defaulted in the PAST — with the reason; and any loan in default NOW — with the reason. If there are no defaults, the BCM says so clearly → mark YES.</v>
      </c>
      <c r="C52" s="16">
        <f>Scorecard!C33</f>
        <v>3</v>
      </c>
      <c r="D52" s="16">
        <f>Scorecard!F33</f>
        <v>0</v>
      </c>
      <c r="E52" s="14" t="str">
        <f>IF(Scorecard!E33="Yes","✔ Said",IF(Scorecard!E33="Half","½ Half",IF(Scorecard!E33="No","✘ MISSED","?")))</f>
        <v>?</v>
      </c>
      <c r="F52" s="15" t="str">
        <f>IF(Scorecard!G33="","",Scorecard!G33)</f>
        <v/>
      </c>
    </row>
    <row r="53" spans="1:6" ht="28.8" x14ac:dyDescent="0.3">
      <c r="A53" s="14" t="s">
        <v>66</v>
      </c>
      <c r="B53" s="15" t="str">
        <f>Scorecard!B34</f>
        <v>Approximate family expenses per month (overall figure is enough). School fees may or may not be mentioned. Next-12-month expenses NOT needed.</v>
      </c>
      <c r="C53" s="16">
        <f>Scorecard!C34</f>
        <v>2</v>
      </c>
      <c r="D53" s="16">
        <f>Scorecard!F34</f>
        <v>0</v>
      </c>
      <c r="E53" s="14" t="str">
        <f>IF(Scorecard!E34="Yes","✔ Said",IF(Scorecard!E34="Half","½ Half",IF(Scorecard!E34="No","✘ MISSED","?")))</f>
        <v>?</v>
      </c>
      <c r="F53" s="15" t="str">
        <f>IF(Scorecard!G34="","",Scorecard!G34)</f>
        <v/>
      </c>
    </row>
    <row r="54" spans="1:6" ht="43.2" x14ac:dyDescent="0.3">
      <c r="A54" s="14" t="s">
        <v>68</v>
      </c>
      <c r="B54" s="15" t="str">
        <f>Scorecard!B35</f>
        <v>ENQUIRIES in the last 3 months (from CRIF): how many, and for each — current status, sanctioned or not; if not sanctioned, the reason. If there are no enquiries, the BCM says so clearly → mark YES.</v>
      </c>
      <c r="C54" s="16">
        <f>Scorecard!C35</f>
        <v>3</v>
      </c>
      <c r="D54" s="16">
        <f>Scorecard!F35</f>
        <v>0</v>
      </c>
      <c r="E54" s="14" t="str">
        <f>IF(Scorecard!E35="Yes","✔ Said",IF(Scorecard!E35="Half","½ Half",IF(Scorecard!E35="No","✘ MISSED","?")))</f>
        <v>?</v>
      </c>
      <c r="F54" s="15" t="str">
        <f>IF(Scorecard!G35="","",Scorecard!G35)</f>
        <v/>
      </c>
    </row>
    <row r="55" spans="1:6" x14ac:dyDescent="0.3">
      <c r="A55" s="22" t="s">
        <v>70</v>
      </c>
      <c r="B55" s="23"/>
      <c r="C55" s="23"/>
      <c r="D55" s="23"/>
      <c r="E55" s="23"/>
      <c r="F55" s="24"/>
    </row>
    <row r="56" spans="1:6" ht="57.6" x14ac:dyDescent="0.3">
      <c r="A56" s="14" t="s">
        <v>72</v>
      </c>
      <c r="B56" s="15" t="str">
        <f>Scorecard!B37</f>
        <v>HOME: own or rented, years living here, pucca / kachha, rooms; electricity bill in whose name; items seen — tractor, car, bike, TV, fridge, washing machine, smartphones (how many), cooler / AC, gas, electricity meter. Does the standard of living match the income claimed?</v>
      </c>
      <c r="C56" s="16">
        <f>Scorecard!C37</f>
        <v>3</v>
      </c>
      <c r="D56" s="16">
        <f>Scorecard!F37</f>
        <v>0</v>
      </c>
      <c r="E56" s="14" t="str">
        <f>IF(Scorecard!E37="Yes","✔ Said",IF(Scorecard!E37="Half","½ Half",IF(Scorecard!E37="No","✘ MISSED","?")))</f>
        <v>?</v>
      </c>
      <c r="F56" s="15" t="str">
        <f>IF(Scorecard!G37="","",Scorecard!G37)</f>
        <v/>
      </c>
    </row>
    <row r="57" spans="1:6" ht="43.2" x14ac:dyDescent="0.3">
      <c r="A57" s="17" t="s">
        <v>146</v>
      </c>
      <c r="B57" s="15" t="str">
        <f>Scorecard!B38</f>
        <v>CO-BORROWERS met in person and aware of the loan. KYC IDs (Aadhaar / PAN / Voter / Samagra) of the borrower and ALL co-borrowers checked. Other family members need not be met, but each one must be noted: name, age and what they do.</v>
      </c>
      <c r="C57" s="16">
        <f>Scorecard!C38</f>
        <v>4</v>
      </c>
      <c r="D57" s="16">
        <f>Scorecard!F38</f>
        <v>0</v>
      </c>
      <c r="E57" s="14" t="str">
        <f>IF(Scorecard!E38="Yes","✔ Said",IF(Scorecard!E38="Half","½ Half",IF(Scorecard!E38="No","✘ MISSED","?")))</f>
        <v>?</v>
      </c>
      <c r="F57" s="15" t="str">
        <f>IF(Scorecard!G38="","",Scorecard!G38)</f>
        <v/>
      </c>
    </row>
    <row r="58" spans="1:6" ht="28.8" x14ac:dyDescent="0.3">
      <c r="A58" s="17" t="s">
        <v>147</v>
      </c>
      <c r="B58" s="15" t="str">
        <f>Scorecard!B39</f>
        <v>2 HOME NEIGHBOURS: name, mobile number, how long the family is staying here, conduct, any dispute. Photos taken.</v>
      </c>
      <c r="C58" s="16">
        <f>Scorecard!C39</f>
        <v>3</v>
      </c>
      <c r="D58" s="16">
        <f>Scorecard!F39</f>
        <v>0</v>
      </c>
      <c r="E58" s="14" t="str">
        <f>IF(Scorecard!E39="Yes","✔ Said",IF(Scorecard!E39="Half","½ Half",IF(Scorecard!E39="No","✘ MISSED","?")))</f>
        <v>?</v>
      </c>
      <c r="F58" s="15" t="str">
        <f>IF(Scorecard!G39="","",Scorecard!G39)</f>
        <v/>
      </c>
    </row>
    <row r="59" spans="1:6" ht="43.2" x14ac:dyDescent="0.3">
      <c r="A59" s="14" t="s">
        <v>78</v>
      </c>
      <c r="B59" s="15" t="str">
        <f>Scorecard!B40</f>
        <v>Told the customer and family: this is a Loan Against Property (house mortgaged), the EMI amount, Clean Track Reward (last 3 EMIs waived on clean repayment), ZERO COMMISSION — pay nobody, Prodigee works on trust and integrity.</v>
      </c>
      <c r="C59" s="16">
        <f>Scorecard!C40</f>
        <v>2</v>
      </c>
      <c r="D59" s="16">
        <f>Scorecard!F40</f>
        <v>0</v>
      </c>
      <c r="E59" s="14" t="str">
        <f>IF(Scorecard!E40="Yes","✔ Said",IF(Scorecard!E40="Half","½ Half",IF(Scorecard!E40="No","✘ MISSED","?")))</f>
        <v>?</v>
      </c>
      <c r="F59" s="15" t="str">
        <f>IF(Scorecard!G40="","",Scorecard!G40)</f>
        <v/>
      </c>
    </row>
    <row r="60" spans="1:6" x14ac:dyDescent="0.3">
      <c r="A60" s="22" t="s">
        <v>80</v>
      </c>
      <c r="B60" s="23"/>
      <c r="C60" s="23"/>
      <c r="D60" s="23"/>
      <c r="E60" s="23"/>
      <c r="F60" s="24"/>
    </row>
    <row r="61" spans="1:6" ht="28.8" x14ac:dyDescent="0.3">
      <c r="A61" s="14" t="s">
        <v>82</v>
      </c>
      <c r="B61" s="15" t="str">
        <f>Scorecard!B42</f>
        <v>Property: house / shop / plot, self-occupied or rented out, pucca, age, area (sq.ft), road access, kitchen and toilet, condition.</v>
      </c>
      <c r="C61" s="16">
        <f>Scorecard!C42</f>
        <v>3</v>
      </c>
      <c r="D61" s="16">
        <f>Scorecard!F42</f>
        <v>0</v>
      </c>
      <c r="E61" s="14" t="str">
        <f>IF(Scorecard!E42="Yes","✔ Said",IF(Scorecard!E42="Half","½ Half",IF(Scorecard!E42="No","✘ MISSED","?")))</f>
        <v>?</v>
      </c>
      <c r="F61" s="15" t="str">
        <f>IF(Scorecard!G42="","",Scorecard!G42)</f>
        <v/>
      </c>
    </row>
    <row r="62" spans="1:6" ht="72" x14ac:dyDescent="0.3">
      <c r="A62" s="17" t="s">
        <v>148</v>
      </c>
      <c r="B62" s="15" t="str">
        <f>Scorecard!B43</f>
        <v>ORIGINAL papers seen with your own eyes (Sale Deed / Patta / 5-pager — say which); in whose name; how he got it; mutation done? ALL owners and legal heirs are CO-BORROWERS on this loan — name them. If papers are NOT with the borrower and the BCM says so clearly in the recording (and when they will be given) → do NOT cut points: mark YES for the paper-related parts.</v>
      </c>
      <c r="C62" s="16">
        <f>Scorecard!C43</f>
        <v>4</v>
      </c>
      <c r="D62" s="16">
        <f>Scorecard!F43</f>
        <v>0</v>
      </c>
      <c r="E62" s="14" t="str">
        <f>IF(Scorecard!E43="Yes","✔ Said",IF(Scorecard!E43="Half","½ Half",IF(Scorecard!E43="No","✘ MISSED","?")))</f>
        <v>?</v>
      </c>
      <c r="F62" s="15" t="str">
        <f>IF(Scorecard!G43="","",Scorecard!G43)</f>
        <v/>
      </c>
    </row>
    <row r="63" spans="1:6" ht="86.4" x14ac:dyDescent="0.3">
      <c r="A63" s="14" t="s">
        <v>86</v>
      </c>
      <c r="B63" s="15" t="str">
        <f>Scorecard!B44</f>
        <v>Papers genuine? (registry seal and number, pages complete, Panchayat seal / signature). Already mortgaged with any other bank / finance company? Original papers lying with any other lender? Asked the family; checked CRIF for secured loans. For panchayat property: Patta / SVAMITVA record checked. If papers are NOT with the borrower and the BCM says so clearly (and when they will be given) → do NOT cut points for the paper checks; mortgaged-elsewhere question must still be asked.</v>
      </c>
      <c r="C63" s="16">
        <f>Scorecard!C44</f>
        <v>3</v>
      </c>
      <c r="D63" s="16">
        <f>Scorecard!F44</f>
        <v>0</v>
      </c>
      <c r="E63" s="14" t="str">
        <f>IF(Scorecard!E44="Yes","✔ Said",IF(Scorecard!E44="Half","½ Half",IF(Scorecard!E44="No","✘ MISSED","?")))</f>
        <v>?</v>
      </c>
      <c r="F63" s="15" t="str">
        <f>IF(Scorecard!G44="","",Scorecard!G44)</f>
        <v/>
      </c>
    </row>
    <row r="64" spans="1:6" ht="28.8" x14ac:dyDescent="0.3">
      <c r="A64" s="14" t="s">
        <v>88</v>
      </c>
      <c r="B64" s="15" t="str">
        <f>Scorecard!B45</f>
        <v>Approximate value with the basis (local rate per sq.ft, a recent sale nearby, neighbour's view); distress value; loan amount vs value.</v>
      </c>
      <c r="C64" s="16">
        <f>Scorecard!C45</f>
        <v>2</v>
      </c>
      <c r="D64" s="16">
        <f>Scorecard!F45</f>
        <v>0</v>
      </c>
      <c r="E64" s="14" t="str">
        <f>IF(Scorecard!E45="Yes","✔ Said",IF(Scorecard!E45="Half","½ Half",IF(Scorecard!E45="No","✘ MISSED","?")))</f>
        <v>?</v>
      </c>
      <c r="F64" s="15" t="str">
        <f>IF(Scorecard!G45="","",Scorecard!G45)</f>
        <v/>
      </c>
    </row>
    <row r="65" spans="1:6" ht="28.8" x14ac:dyDescent="0.3">
      <c r="A65" s="14" t="s">
        <v>90</v>
      </c>
      <c r="B65" s="15" t="str">
        <f>Scorecard!B46</f>
        <v>Risks: any dispute, ST / tribal land, high-tension line / river bank / encroachment, negative area, demolition risk — say "none" if none.</v>
      </c>
      <c r="C65" s="16">
        <f>Scorecard!C46</f>
        <v>2</v>
      </c>
      <c r="D65" s="16">
        <f>Scorecard!F46</f>
        <v>0</v>
      </c>
      <c r="E65" s="14" t="str">
        <f>IF(Scorecard!E46="Yes","✔ Said",IF(Scorecard!E46="Half","½ Half",IF(Scorecard!E46="No","✘ MISSED","?")))</f>
        <v>?</v>
      </c>
      <c r="F65" s="15" t="str">
        <f>IF(Scorecard!G46="","",Scorecard!G46)</f>
        <v/>
      </c>
    </row>
    <row r="66" spans="1:6" x14ac:dyDescent="0.3">
      <c r="A66" s="22" t="s">
        <v>92</v>
      </c>
      <c r="B66" s="23"/>
      <c r="C66" s="23"/>
      <c r="D66" s="23"/>
      <c r="E66" s="23"/>
      <c r="F66" s="24"/>
    </row>
    <row r="67" spans="1:6" ht="28.8" x14ac:dyDescent="0.3">
      <c r="A67" s="14" t="s">
        <v>94</v>
      </c>
      <c r="B67" s="15" t="str">
        <f>Scorecard!B48</f>
        <v>Loan purpose: how much for what, where, when; is the need visible on the ground (empty shelves, loans to be closed); not a restricted use.</v>
      </c>
      <c r="C67" s="16">
        <f>Scorecard!C48</f>
        <v>3</v>
      </c>
      <c r="D67" s="16">
        <f>Scorecard!F48</f>
        <v>0</v>
      </c>
      <c r="E67" s="14" t="str">
        <f>IF(Scorecard!E48="Yes","✔ Said",IF(Scorecard!E48="Half","½ Half",IF(Scorecard!E48="No","✘ MISSED","?")))</f>
        <v>?</v>
      </c>
      <c r="F67" s="15" t="str">
        <f>IF(Scorecard!G48="","",Scorecard!G48)</f>
        <v/>
      </c>
    </row>
    <row r="68" spans="1:6" ht="72" x14ac:dyDescent="0.3">
      <c r="A68" s="17" t="s">
        <v>149</v>
      </c>
      <c r="B68" s="15" t="str">
        <f>Scorecard!B49</f>
        <v>INTENT &amp; INTEGRITY — answer each one clearly: (1) business genuine? (2) sales and purchase numbers true or inflated? (3) defaults justified? (4) regular defaulter? (5) family aware and supportive? (6) all property owners on the loan? (7) papers genuine? (8) customer open or evasive about accounts, bills, loans? (9) any middleman or commission?</v>
      </c>
      <c r="C68" s="16">
        <f>Scorecard!C49</f>
        <v>4</v>
      </c>
      <c r="D68" s="16">
        <f>Scorecard!F49</f>
        <v>0</v>
      </c>
      <c r="E68" s="14" t="str">
        <f>IF(Scorecard!E49="Yes","✔ Said",IF(Scorecard!E49="Half","½ Half",IF(Scorecard!E49="No","✘ MISSED","?")))</f>
        <v>?</v>
      </c>
      <c r="F68" s="15" t="str">
        <f>IF(Scorecard!G49="","",Scorecard!G49)</f>
        <v/>
      </c>
    </row>
    <row r="69" spans="1:6" ht="43.2" x14ac:dyDescent="0.3">
      <c r="A69" s="14" t="s">
        <v>98</v>
      </c>
      <c r="B69" s="15" t="str">
        <f>Scorecard!B50</f>
        <v>WARNING SIGNS seen — say each one, or say "none": staged / fake business · hidden loans · family unaware · doubtful papers or property mortgaged elsewhere · commission or middleman · numbers not matching AA / bills.</v>
      </c>
      <c r="C69" s="16">
        <f>Scorecard!C50</f>
        <v>3</v>
      </c>
      <c r="D69" s="16">
        <f>Scorecard!F50</f>
        <v>0</v>
      </c>
      <c r="E69" s="14" t="str">
        <f>IF(Scorecard!E50="Yes","✔ Said",IF(Scorecard!E50="Half","½ Half",IF(Scorecard!E50="No","✘ MISSED","?")))</f>
        <v>?</v>
      </c>
      <c r="F69" s="15" t="str">
        <f>IF(Scorecard!G50="","",Scorecard!G50)</f>
        <v/>
      </c>
    </row>
    <row r="70" spans="1:6" ht="43.2" x14ac:dyDescent="0.3">
      <c r="A70" s="14" t="s">
        <v>100</v>
      </c>
      <c r="B70" s="15" t="str">
        <f>Scorecard!B51</f>
        <v>What you could NOT verify — say it honestly. Your overall view: total family income vs loan asked, ability and intention to repay. (This is your view — the decision is taken later on PRAGATI.)</v>
      </c>
      <c r="C70" s="16">
        <f>Scorecard!C51</f>
        <v>2</v>
      </c>
      <c r="D70" s="16">
        <f>Scorecard!F51</f>
        <v>0</v>
      </c>
      <c r="E70" s="14" t="str">
        <f>IF(Scorecard!E51="Yes","✔ Said",IF(Scorecard!E51="Half","½ Half",IF(Scorecard!E51="No","✘ MISSED","?")))</f>
        <v>?</v>
      </c>
      <c r="F70" s="15" t="str">
        <f>IF(Scorecard!G51="","",Scorecard!G51)</f>
        <v/>
      </c>
    </row>
    <row r="71" spans="1:6" x14ac:dyDescent="0.3">
      <c r="A71" s="19"/>
      <c r="B71" s="19"/>
      <c r="C71" s="19"/>
      <c r="D71" s="19"/>
      <c r="E71" s="19"/>
      <c r="F71" s="19"/>
    </row>
    <row r="72" spans="1:6" x14ac:dyDescent="0.3">
      <c r="A72" s="27" t="s">
        <v>150</v>
      </c>
      <c r="B72" s="23"/>
      <c r="C72" s="23"/>
      <c r="D72" s="23"/>
      <c r="E72" s="23"/>
      <c r="F72" s="24"/>
    </row>
  </sheetData>
  <mergeCells count="29">
    <mergeCell ref="A66:F66"/>
    <mergeCell ref="A11:B11"/>
    <mergeCell ref="C7:F7"/>
    <mergeCell ref="A12:F12"/>
    <mergeCell ref="B24:E24"/>
    <mergeCell ref="A50:F50"/>
    <mergeCell ref="A55:F55"/>
    <mergeCell ref="A35:F35"/>
    <mergeCell ref="A23:F23"/>
    <mergeCell ref="C6:F6"/>
    <mergeCell ref="B25:E25"/>
    <mergeCell ref="C5:F5"/>
    <mergeCell ref="C8:F8"/>
    <mergeCell ref="A1:F1"/>
    <mergeCell ref="A45:F45"/>
    <mergeCell ref="A10:B10"/>
    <mergeCell ref="C11:F11"/>
    <mergeCell ref="A72:F72"/>
    <mergeCell ref="A29:F29"/>
    <mergeCell ref="C4:F4"/>
    <mergeCell ref="A5:B5"/>
    <mergeCell ref="C10:F10"/>
    <mergeCell ref="A8:B8"/>
    <mergeCell ref="A4:B4"/>
    <mergeCell ref="A60:F60"/>
    <mergeCell ref="A6:B6"/>
    <mergeCell ref="A2:F2"/>
    <mergeCell ref="B26:E26"/>
    <mergeCell ref="A7:B7"/>
  </mergeCells>
  <conditionalFormatting sqref="C11">
    <cfRule type="expression" dxfId="6" priority="2">
      <formula>LEFT(C11,3)="NOT"</formula>
    </cfRule>
    <cfRule type="expression" dxfId="5" priority="3">
      <formula>LEFT(C11,3)&lt;&gt;"NOT"</formula>
    </cfRule>
  </conditionalFormatting>
  <conditionalFormatting sqref="E24:E71">
    <cfRule type="expression" dxfId="4" priority="18">
      <formula>LEFT(E24,1)="✘"</formula>
    </cfRule>
    <cfRule type="expression" dxfId="3" priority="19">
      <formula>LEFT(E24,1)="½"</formula>
    </cfRule>
    <cfRule type="expression" dxfId="2" priority="20">
      <formula>LEFT(E24,1)="✔"</formula>
    </cfRule>
  </conditionalFormatting>
  <conditionalFormatting sqref="F15:F21">
    <cfRule type="expression" dxfId="1" priority="4">
      <formula>LEFT(F15,5)="Fully"</formula>
    </cfRule>
    <cfRule type="expression" dxfId="0" priority="5">
      <formula>OR(LEFT(F15,4)="Weak",LEFT(F15,6)="Mostly")</formula>
    </cfRule>
  </conditionalFormatting>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Scorecard</vt:lpstr>
      <vt:lpstr>My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Goel</cp:lastModifiedBy>
  <cp:revision>0</cp:revision>
  <dcterms:created xsi:type="dcterms:W3CDTF">2026-09-13T07:31:29Z</dcterms:created>
  <dcterms:modified xsi:type="dcterms:W3CDTF">2026-09-28T03:58:49Z</dcterms:modified>
  <dc:language>en-US</dc:language>
</cp:coreProperties>
</file>