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mitg\Desktop\"/>
    </mc:Choice>
  </mc:AlternateContent>
  <xr:revisionPtr revIDLastSave="0" documentId="8_{057BAD55-1B40-4713-8571-207677C7333D}" xr6:coauthVersionLast="47" xr6:coauthVersionMax="47" xr10:uidLastSave="{00000000-0000-0000-0000-000000000000}"/>
  <bookViews>
    <workbookView xWindow="-108" yWindow="-108" windowWidth="23256" windowHeight="12456" tabRatio="500" xr2:uid="{00000000-000D-0000-FFFF-FFFF00000000}"/>
  </bookViews>
  <sheets>
    <sheet name="Scorecard" sheetId="1" r:id="rId1"/>
    <sheet name="My Result"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9" i="1" l="1"/>
  <c r="C60" i="1" s="1"/>
  <c r="C55" i="1"/>
  <c r="C61" i="1" s="1"/>
  <c r="C11" i="2" s="1"/>
  <c r="H53" i="1"/>
  <c r="F53" i="1"/>
  <c r="H52" i="1"/>
  <c r="F52" i="1"/>
  <c r="H51" i="1"/>
  <c r="F51" i="1"/>
  <c r="H49" i="1"/>
  <c r="F49" i="1"/>
  <c r="H48" i="1"/>
  <c r="F48" i="1"/>
  <c r="H47" i="1"/>
  <c r="F47" i="1"/>
  <c r="H45" i="1"/>
  <c r="F45" i="1"/>
  <c r="H44" i="1"/>
  <c r="F44" i="1"/>
  <c r="H43" i="1"/>
  <c r="F43" i="1"/>
  <c r="H41" i="1"/>
  <c r="F41" i="1"/>
  <c r="H40" i="1"/>
  <c r="F40" i="1"/>
  <c r="H39" i="1"/>
  <c r="F39" i="1"/>
  <c r="H37" i="1"/>
  <c r="F37" i="1"/>
  <c r="H36" i="1"/>
  <c r="F36" i="1"/>
  <c r="H35" i="1"/>
  <c r="F35" i="1"/>
  <c r="D56" i="2" s="1"/>
  <c r="H34" i="1"/>
  <c r="F34" i="1"/>
  <c r="D55" i="2" s="1"/>
  <c r="H32" i="1"/>
  <c r="F32" i="1"/>
  <c r="D53" i="2" s="1"/>
  <c r="H31" i="1"/>
  <c r="F31" i="1"/>
  <c r="H30" i="1"/>
  <c r="F30" i="1"/>
  <c r="H29" i="1"/>
  <c r="F29" i="1"/>
  <c r="H28" i="1"/>
  <c r="F28" i="1"/>
  <c r="H27" i="1"/>
  <c r="F27" i="1"/>
  <c r="H25" i="1"/>
  <c r="F25" i="1"/>
  <c r="H24" i="1"/>
  <c r="F24" i="1"/>
  <c r="H23" i="1"/>
  <c r="F23" i="1"/>
  <c r="H21" i="1"/>
  <c r="F21" i="1"/>
  <c r="H20" i="1"/>
  <c r="F20" i="1"/>
  <c r="H19" i="1"/>
  <c r="F19" i="1"/>
  <c r="H18" i="1"/>
  <c r="F18" i="1"/>
  <c r="H17" i="1"/>
  <c r="F17" i="1"/>
  <c r="H16" i="1"/>
  <c r="F16" i="1"/>
  <c r="H14" i="1"/>
  <c r="F14" i="1"/>
  <c r="H13" i="1"/>
  <c r="F13" i="1"/>
  <c r="H12" i="1"/>
  <c r="F12" i="1"/>
  <c r="H11" i="1"/>
  <c r="F11" i="1"/>
  <c r="C57" i="1" s="1"/>
  <c r="C58" i="1" s="1"/>
  <c r="C10" i="2" s="1"/>
  <c r="F74" i="2"/>
  <c r="E74" i="2"/>
  <c r="D74" i="2"/>
  <c r="C74" i="2"/>
  <c r="B74" i="2"/>
  <c r="F73" i="2"/>
  <c r="E73" i="2"/>
  <c r="D73" i="2"/>
  <c r="C73" i="2"/>
  <c r="B73" i="2"/>
  <c r="F72" i="2"/>
  <c r="E72" i="2"/>
  <c r="D72" i="2"/>
  <c r="C72" i="2"/>
  <c r="B72" i="2"/>
  <c r="F70" i="2"/>
  <c r="E70" i="2"/>
  <c r="D70" i="2"/>
  <c r="C70" i="2"/>
  <c r="B70" i="2"/>
  <c r="F69" i="2"/>
  <c r="E69" i="2"/>
  <c r="D69" i="2"/>
  <c r="C69" i="2"/>
  <c r="B69" i="2"/>
  <c r="F68" i="2"/>
  <c r="E68" i="2"/>
  <c r="D68" i="2"/>
  <c r="C68" i="2"/>
  <c r="B68" i="2"/>
  <c r="F66" i="2"/>
  <c r="E66" i="2"/>
  <c r="D66" i="2"/>
  <c r="C66" i="2"/>
  <c r="B66" i="2"/>
  <c r="F65" i="2"/>
  <c r="E65" i="2"/>
  <c r="D65" i="2"/>
  <c r="C65" i="2"/>
  <c r="B65" i="2"/>
  <c r="F64" i="2"/>
  <c r="E64" i="2"/>
  <c r="D64" i="2"/>
  <c r="C64" i="2"/>
  <c r="B64" i="2"/>
  <c r="F62" i="2"/>
  <c r="E62" i="2"/>
  <c r="D62" i="2"/>
  <c r="C62" i="2"/>
  <c r="B62" i="2"/>
  <c r="F61" i="2"/>
  <c r="E61" i="2"/>
  <c r="D61" i="2"/>
  <c r="C61" i="2"/>
  <c r="B61" i="2"/>
  <c r="F60" i="2"/>
  <c r="E60" i="2"/>
  <c r="D60" i="2"/>
  <c r="C60" i="2"/>
  <c r="B60" i="2"/>
  <c r="F58" i="2"/>
  <c r="E58" i="2"/>
  <c r="D58" i="2"/>
  <c r="C58" i="2"/>
  <c r="B58" i="2"/>
  <c r="F57" i="2"/>
  <c r="E57" i="2"/>
  <c r="D57" i="2"/>
  <c r="C57" i="2"/>
  <c r="B57" i="2"/>
  <c r="F56" i="2"/>
  <c r="E56" i="2"/>
  <c r="C56" i="2"/>
  <c r="B56" i="2"/>
  <c r="F55" i="2"/>
  <c r="E55" i="2"/>
  <c r="C55" i="2"/>
  <c r="B55" i="2"/>
  <c r="F53" i="2"/>
  <c r="E53" i="2"/>
  <c r="C53" i="2"/>
  <c r="B53" i="2"/>
  <c r="F52" i="2"/>
  <c r="E52" i="2"/>
  <c r="D52" i="2"/>
  <c r="C52" i="2"/>
  <c r="B52" i="2"/>
  <c r="F51" i="2"/>
  <c r="E51" i="2"/>
  <c r="D51" i="2"/>
  <c r="C51" i="2"/>
  <c r="B51" i="2"/>
  <c r="F50" i="2"/>
  <c r="E50" i="2"/>
  <c r="D50" i="2"/>
  <c r="C50" i="2"/>
  <c r="B50" i="2"/>
  <c r="F49" i="2"/>
  <c r="E49" i="2"/>
  <c r="D49" i="2"/>
  <c r="C49" i="2"/>
  <c r="B49" i="2"/>
  <c r="F48" i="2"/>
  <c r="E48" i="2"/>
  <c r="D48" i="2"/>
  <c r="C48" i="2"/>
  <c r="B48" i="2"/>
  <c r="F46" i="2"/>
  <c r="E46" i="2"/>
  <c r="D46" i="2"/>
  <c r="C46" i="2"/>
  <c r="B46" i="2"/>
  <c r="F45" i="2"/>
  <c r="E45" i="2"/>
  <c r="D45" i="2"/>
  <c r="C45" i="2"/>
  <c r="B45" i="2"/>
  <c r="F44" i="2"/>
  <c r="E44" i="2"/>
  <c r="D44" i="2"/>
  <c r="C44" i="2"/>
  <c r="B44" i="2"/>
  <c r="F42" i="2"/>
  <c r="E42" i="2"/>
  <c r="D42" i="2"/>
  <c r="C42" i="2"/>
  <c r="B42" i="2"/>
  <c r="F41" i="2"/>
  <c r="E41" i="2"/>
  <c r="D41" i="2"/>
  <c r="C41" i="2"/>
  <c r="B41" i="2"/>
  <c r="F40" i="2"/>
  <c r="E40" i="2"/>
  <c r="D40" i="2"/>
  <c r="C40" i="2"/>
  <c r="B40" i="2"/>
  <c r="F39" i="2"/>
  <c r="E39" i="2"/>
  <c r="D39" i="2"/>
  <c r="C39" i="2"/>
  <c r="B39" i="2"/>
  <c r="F38" i="2"/>
  <c r="E38" i="2"/>
  <c r="D38" i="2"/>
  <c r="C38" i="2"/>
  <c r="B38" i="2"/>
  <c r="F37" i="2"/>
  <c r="E37" i="2"/>
  <c r="D37" i="2"/>
  <c r="C37" i="2"/>
  <c r="B37" i="2"/>
  <c r="F35" i="2"/>
  <c r="E35" i="2"/>
  <c r="D35" i="2"/>
  <c r="C35" i="2"/>
  <c r="B35" i="2"/>
  <c r="F34" i="2"/>
  <c r="E34" i="2"/>
  <c r="D34" i="2"/>
  <c r="C34" i="2"/>
  <c r="B34" i="2"/>
  <c r="F33" i="2"/>
  <c r="E33" i="2"/>
  <c r="D33" i="2"/>
  <c r="C33" i="2"/>
  <c r="B33" i="2"/>
  <c r="F32" i="2"/>
  <c r="E32" i="2"/>
  <c r="D32" i="2"/>
  <c r="C32" i="2"/>
  <c r="B32" i="2"/>
  <c r="F28" i="2"/>
  <c r="B28" i="2"/>
  <c r="F27" i="2"/>
  <c r="B27" i="2"/>
  <c r="F26" i="2"/>
  <c r="B26" i="2"/>
  <c r="D23" i="2"/>
  <c r="D22" i="2"/>
  <c r="D21" i="2"/>
  <c r="D20" i="2"/>
  <c r="D19" i="2"/>
  <c r="D18" i="2"/>
  <c r="D17" i="2"/>
  <c r="D16" i="2"/>
  <c r="D15" i="2"/>
  <c r="C8" i="2"/>
  <c r="C7" i="2"/>
  <c r="C6" i="2"/>
  <c r="C5" i="2"/>
  <c r="C4" i="2"/>
  <c r="F23" i="2" l="1"/>
  <c r="E23" i="2"/>
  <c r="F22" i="2"/>
  <c r="E22" i="2"/>
  <c r="F21" i="2"/>
  <c r="E21" i="2"/>
  <c r="F20" i="2"/>
  <c r="E20" i="2"/>
  <c r="F19" i="2"/>
  <c r="E19" i="2"/>
  <c r="F18" i="2"/>
  <c r="E18" i="2"/>
  <c r="F17" i="2"/>
  <c r="E17" i="2"/>
  <c r="F16" i="2"/>
  <c r="E16" i="2"/>
  <c r="F15" i="2"/>
  <c r="E15" i="2"/>
</calcChain>
</file>

<file path=xl/sharedStrings.xml><?xml version="1.0" encoding="utf-8"?>
<sst xmlns="http://schemas.openxmlformats.org/spreadsheetml/2006/main" count="209" uniqueCount="159">
  <si>
    <t>MY PD AUDIO RESULT</t>
  </si>
  <si>
    <t>Read this after every Audio PD. It shows your score, what you missed and what to ask first next time. Nothing to fill here — it comes from the Scorecard.</t>
  </si>
  <si>
    <t>RCM</t>
  </si>
  <si>
    <t>Customer</t>
  </si>
  <si>
    <t>Application ID</t>
  </si>
  <si>
    <t>Date</t>
  </si>
  <si>
    <t>Recording length (min)</t>
  </si>
  <si>
    <t>MY SCORE</t>
  </si>
  <si>
    <t>RESULT</t>
  </si>
  <si>
    <t>Minimum to pass: 75. All MUST items must be Yes. 90+ is Excellent.</t>
  </si>
  <si>
    <t>HOW I DID — GROUP-WISE</t>
  </si>
  <si>
    <t>Points</t>
  </si>
  <si>
    <t>I got</t>
  </si>
  <si>
    <t>%</t>
  </si>
  <si>
    <t>Comment</t>
  </si>
  <si>
    <t>A</t>
  </si>
  <si>
    <t>Call Opening &amp; Identity</t>
  </si>
  <si>
    <t>B</t>
  </si>
  <si>
    <t>Loan Amount, BCM Visit &amp; Integrity</t>
  </si>
  <si>
    <t>C</t>
  </si>
  <si>
    <t>End Use</t>
  </si>
  <si>
    <t>D</t>
  </si>
  <si>
    <t>Income — Call Vs BCM Assessment</t>
  </si>
  <si>
    <t>E</t>
  </si>
  <si>
    <t>Obligations — Call Vs Bureau Vs Cam</t>
  </si>
  <si>
    <t>F</t>
  </si>
  <si>
    <t>Family &amp; Co-borrower</t>
  </si>
  <si>
    <t>G</t>
  </si>
  <si>
    <t>Collateral Property</t>
  </si>
  <si>
    <t>H</t>
  </si>
  <si>
    <t>Repayment Capacity &amp; Intent</t>
  </si>
  <si>
    <t>I</t>
  </si>
  <si>
    <t>Disclosures &amp; Close</t>
  </si>
  <si>
    <t>NEXT TIME — ASK THESE FIRST (the 3 items where I lost most points)</t>
  </si>
  <si>
    <t>No</t>
  </si>
  <si>
    <t>MY CHECKLIST — WHAT I ASKED AND WHAT I MISSED</t>
  </si>
  <si>
    <t>Mark</t>
  </si>
  <si>
    <t>What was missing</t>
  </si>
  <si>
    <t>A. CALL OPENING &amp; IDENTITY</t>
  </si>
  <si>
    <t>A1 ★</t>
  </si>
  <si>
    <t>A2 ★</t>
  </si>
  <si>
    <t>A3</t>
  </si>
  <si>
    <t>A4</t>
  </si>
  <si>
    <t>B. LOAN AMOUNT, BCM VISIT &amp; INTEGRITY</t>
  </si>
  <si>
    <t>B1 ★</t>
  </si>
  <si>
    <t>B2 ★</t>
  </si>
  <si>
    <t>B3</t>
  </si>
  <si>
    <t>B4 ★</t>
  </si>
  <si>
    <t>B5</t>
  </si>
  <si>
    <t>B6</t>
  </si>
  <si>
    <t>C. END USE</t>
  </si>
  <si>
    <t>C1 ★</t>
  </si>
  <si>
    <t>C2 ★</t>
  </si>
  <si>
    <t>C3</t>
  </si>
  <si>
    <t>D. INCOME — CALL vs BCM ASSESSMENT</t>
  </si>
  <si>
    <t>D1</t>
  </si>
  <si>
    <t>D2 ★</t>
  </si>
  <si>
    <t>D3</t>
  </si>
  <si>
    <t>D4</t>
  </si>
  <si>
    <t>D5</t>
  </si>
  <si>
    <t>D6</t>
  </si>
  <si>
    <t>E. OBLIGATIONS — CALL vs BUREAU vs CAM</t>
  </si>
  <si>
    <t>E1 ★</t>
  </si>
  <si>
    <t>E2</t>
  </si>
  <si>
    <t>E3</t>
  </si>
  <si>
    <t>E4</t>
  </si>
  <si>
    <t>F. FAMILY &amp; CO-BORROWER</t>
  </si>
  <si>
    <t>F1</t>
  </si>
  <si>
    <t>F2 ★</t>
  </si>
  <si>
    <t>F3</t>
  </si>
  <si>
    <t>G. COLLATERAL PROPERTY</t>
  </si>
  <si>
    <t>G1</t>
  </si>
  <si>
    <t>G2</t>
  </si>
  <si>
    <t>G3 ★</t>
  </si>
  <si>
    <t>H. REPAYMENT CAPACITY &amp; INTENT</t>
  </si>
  <si>
    <t>H1</t>
  </si>
  <si>
    <t>H2</t>
  </si>
  <si>
    <t>H3</t>
  </si>
  <si>
    <t>I. DISCLOSURES &amp; CLOSE</t>
  </si>
  <si>
    <t>I1</t>
  </si>
  <si>
    <t>I2</t>
  </si>
  <si>
    <t>I3</t>
  </si>
  <si>
    <t>★ = MUST item. A MUST item marked ½ or ✘ means the recording is not accepted — call the customer again for those points (a short extra call covering only the missed points is fine).</t>
  </si>
  <si>
    <t>RCM AUDIO PD — PHONE CALL RECORDING SCORECARD (V2.1 Simple)</t>
  </si>
  <si>
    <t>Evaluator: fill the yellow cells only. For each item choose Yes (asked / said fully with names and figures), Half (asked but vague or incomplete) or No (not asked). If the customer clearly says something does NOT exist (no BT, no income-generating loan, no other loan, no mortgage) — that IS covered: mark YES. Score, result and the RCM's "My Result" page fill automatically.</t>
  </si>
  <si>
    <t>Recording length (minutes)</t>
  </si>
  <si>
    <t>Customer name</t>
  </si>
  <si>
    <t>Recording uploaded on PRAGATI the same day? (Yes/No)</t>
  </si>
  <si>
    <t>RCM name</t>
  </si>
  <si>
    <t>Both sides clearly audible? (Yes/No)</t>
  </si>
  <si>
    <t>Date of call &amp; recording</t>
  </si>
  <si>
    <t>Evaluator</t>
  </si>
  <si>
    <t>WHAT THE RCM MUST ASK / SAY ON THE CALL</t>
  </si>
  <si>
    <t>MUST</t>
  </si>
  <si>
    <t>Covered? (Yes / Half / No)</t>
  </si>
  <si>
    <t>Score</t>
  </si>
  <si>
    <t>What was missing — evaluator note</t>
  </si>
  <si>
    <t>lost (helper)</t>
  </si>
  <si>
    <t>Minute 0–1.5</t>
  </si>
  <si>
    <t>A1</t>
  </si>
  <si>
    <t>Say at the start: "Yeh call record ho rahi hai, loan verification ke liye." State Application ID, customer name and village/town.</t>
  </si>
  <si>
    <t>A2</t>
  </si>
  <si>
    <t>Confirm you are talking to the MAIN BORROWER himself / herself — full name, on the applicant's own mobile number. Not a relative, agent or anyone else.</t>
  </si>
  <si>
    <t>Ask the customer WHERE he has logged the loan file (which company / branch). Even if he does not remember, do NOT cut points — what matters is that the RCM ASKS this on the call.</t>
  </si>
  <si>
    <t>Ask the borrower: does the FEMALE CO-BORROWER (wife, or mother if unmarried) know about this loan, and will she be part of this loan? Her name.</t>
  </si>
  <si>
    <t>Minute 1.5–3.5</t>
  </si>
  <si>
    <t>B1</t>
  </si>
  <si>
    <t>LOAN AMOUNT: the customer states it himself (do NOT lead with the figure). Must be within 10% of the CAM amount — a bigger gap is a red flag (RF-2).</t>
  </si>
  <si>
    <t>B2</t>
  </si>
  <si>
    <t>BCM VISIT VERIFIED: "Prodigee se kaun aaye the?" — who came, did he see the business (EVERY income activity) AND the home? Visit not done or incomplete = file returned for physical PD again (RF-12).</t>
  </si>
  <si>
    <t>Ask: did anyone — Prodigee staff, agent or anyone else — ask for commission, fees or money for this loan? Tell him: ZERO COMMISSION — only official charges, in writing.</t>
  </si>
  <si>
    <t>B4</t>
  </si>
  <si>
    <t>Customer clearly understands: BUSINESS Loan Against Property — property will be MORTGAGED and the ORIGINAL papers deposited with Prodigee.</t>
  </si>
  <si>
    <t>PENDING DOCUMENTS: name each document still pending on PRAGATI and ask him to submit it. If nothing is pending, say so.</t>
  </si>
  <si>
    <t>FRESH or BT? Is this a FRESH loan requirement or a Balance Transfer (BT) from another lender? If BT: has the customer applied to the existing lender for the LOD (List of Documents) and the FCL (Foreclosure Letter)?</t>
  </si>
  <si>
    <t>Minute 3.5–5</t>
  </si>
  <si>
    <t>C1</t>
  </si>
  <si>
    <t>END USE in the customer's own words — open question, do not read out the declared purpose. Probe: kitna, kahan, kab. Must match the End-Use Declaration / CAM (mismatch = RF-3).</t>
  </si>
  <si>
    <t>C2</t>
  </si>
  <si>
    <t>RESTRICTED USE ruled out: not speculation, not a new / unrelated business, not purchase of milch animals, nothing illegal.</t>
  </si>
  <si>
    <t>UTILISATION PLAN: how much goes where and by when — break-up for mixed use (e.g. stock + closing other loans).</t>
  </si>
  <si>
    <t>Minute 5–9</t>
  </si>
  <si>
    <t>EVERY BUSINESS / income stream the CAM counts: what, where, since when, who runs it; scale — staff, customers per day, stock, capacity. Consistent with the PD Report?</t>
  </si>
  <si>
    <t>D2</t>
  </si>
  <si>
    <t>INCOME GRILLED per business: daily / monthly sales, profit margin %, lean season — customer's figures first. Ask for PROOF (bills, parchi, register, bank / AA credits). Within 20% of the CAM assessed income? Bigger gap = RF-4 (CAM back to BCM).</t>
  </si>
  <si>
    <t>REFERENCES: 2–3 names and mobile numbers of people he deals with — supplier, buyer, thekedar, society — to corroborate the main income.</t>
  </si>
  <si>
    <t>AGRICULTURE in full: land in whose name, acres, crops each season, yearly income, KCC. THEN the missed-income question: dairy / milk? wife, father, brother, son — any business or job? rent? "Koi aur aamdani jo report mein nahi likhi?" No farm land — say so.</t>
  </si>
  <si>
    <t>AA CHECKS on the call: any EMI bounce? any big credit / debit that is not routine? UPI per month vs cash? Are ALL bank accounts in the AA — any account left out? If the main transacting account is missing, pull it on the call with the customer's OTP.</t>
  </si>
  <si>
    <t>INCOME-GENERATING LOANS: go through ALL ACTIVE loans and pick out any Tractor loan, Commercial Vehicle loan, Construction Equipment loan or any other loan on an asset that earns money. Ask about each one — what work it does, how many days a month, earning per month — and work out the income from it.</t>
  </si>
  <si>
    <t>Minute 9–11</t>
  </si>
  <si>
    <t>E1</t>
  </si>
  <si>
    <t>ACTIVE LOANS ONLY — company, EMI, since when — listed by the customer and reconciled by you against EVERY ACTIVE loan in the bureau and the CAM obligation table. Closed loans need NOT be checked. Any active loan not in the CAM = RF-5 (re-run FOIR).</t>
  </si>
  <si>
    <t>ASK EACH ONE BY NAME, household-wide — only loans RUNNING TODAY: samooh / group / MFI loan (including in the wife's name)? KCC? society / PACS? gold pledged? hand loan / bazaar udhaar?</t>
  </si>
  <si>
    <t>ENQUIRIES in the last 3 months: applied anywhere else? What happened — approved / rejected (why) / withdrawn / pending? Check against the bureau enquiry list.</t>
  </si>
  <si>
    <t>BOUNCES / OVERDUE: any EMI late or bounced? Any overdue today? Answer must match the bureau and AA; an admitted overdue is cleared before sanction.</t>
  </si>
  <si>
    <t>Minute 11–12</t>
  </si>
  <si>
    <t>FAMILY: how many members, how many dependent, monthly household expense — within one of the CAM family table.</t>
  </si>
  <si>
    <t>F2</t>
  </si>
  <si>
    <t>FEMALE CO-BORROWER: speaking to her on this call is NOT required. The borrower must clearly know that a FEMALE CO-BORROWER — wife (or mother if unmarried) — is MANDATORY and that she is part of this loan.</t>
  </si>
  <si>
    <t>PROPERTY OWNER &amp; HEIRS: in whose name; if ancestral — do brothers / sisters / heirs have a share; are all of them in the loan or giving NOC?</t>
  </si>
  <si>
    <t>Minute 12–13</t>
  </si>
  <si>
    <t>WHICH PROPERTY: house / shop / plot, where; the ACTUAL owner as per papers; which ORIGINAL papers — registry, rin pustika, patta, naksha. Same property as the CAM / technical report?</t>
  </si>
  <si>
    <t>CUSTOMER'S OWN VALUE of the property: "aaj bechni ho to kitne ki hai?"</t>
  </si>
  <si>
    <t>G3</t>
  </si>
  <si>
    <t>ALREADY MORTGAGED? Is this property mortgaged with any other Bank / FI? If YES — which Bank / FI.</t>
  </si>
  <si>
    <t>Minute 13–14</t>
  </si>
  <si>
    <t>EMI CAPACITY: "kitni EMI aaram se de payenge, kis kamai se?" — a figure tied to a specific cashflow; makes sense against stated income and loans (fails = RF-9).</t>
  </si>
  <si>
    <t>SURPLUS ALOUD: income − household expense − existing EMIs = surplus; does the new EMI fit? Consistent with the CAM surplus.</t>
  </si>
  <si>
    <t>INTENT: attitude to EMI, any past wilful delay, "EMI late hui to?", commitment to NACH auto-debit. Reluctance on mortgage, NACH, insurance or any condition = RF-10.</t>
  </si>
  <si>
    <t>Minute 14–15</t>
  </si>
  <si>
    <t>Say: ZERO COMMISSION — nobody is to be paid; all charges official and in writing. Indicative EMI for the applied amount — clearly indicative, not a promise.</t>
  </si>
  <si>
    <t>Confirm once more: BUSINESS Loan Against Property, mortgage — the customer is not expecting an unsecured loan, a government scheme or any waiver (RF-8).</t>
  </si>
  <si>
    <t>NEXT STEPS told: pending documents → if approved, SOFT SANCTION LETTER → SANCTION LETTER with KFS → DISBURSEMENT; the Operations team will call. How to complain (branch / nodal officer). "Aapka koi sawaal?" — answered.</t>
  </si>
  <si>
    <t>Recording valid? (10–20 minutes, uploaded same day, audible)</t>
  </si>
  <si>
    <t>Points applicable</t>
  </si>
  <si>
    <t>Points scored</t>
  </si>
  <si>
    <t>SCORE (out of 100)</t>
  </si>
  <si>
    <t>MUST items not fully covered (count)</t>
  </si>
  <si>
    <t>MUST items missed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</si>
</sst>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4"/>
      <color rgb="FFFFFFFF"/>
      <name val="Aptos Display"/>
      <charset val="1"/>
    </font>
    <font>
      <i/>
      <sz val="11"/>
      <color rgb="FF595959"/>
      <name val="Aptos Display"/>
      <charset val="1"/>
    </font>
    <font>
      <b/>
      <sz val="11"/>
      <name val="Aptos Display"/>
      <charset val="1"/>
    </font>
    <font>
      <sz val="11"/>
      <name val="Aptos Display"/>
      <charset val="1"/>
    </font>
    <font>
      <b/>
      <sz val="11"/>
      <color rgb="FFFFFFFF"/>
      <name val="Aptos Display"/>
      <charset val="1"/>
    </font>
    <font>
      <sz val="11"/>
      <color rgb="FFA6A6A6"/>
      <name val="Aptos Display"/>
      <charset val="1"/>
    </font>
    <font>
      <b/>
      <sz val="11"/>
      <color rgb="FF7C1D1D"/>
      <name val="Aptos Display"/>
      <charset val="1"/>
    </font>
    <font>
      <b/>
      <sz val="14"/>
      <name val="Aptos Display"/>
      <charset val="1"/>
    </font>
    <font>
      <b/>
      <sz val="12"/>
      <name val="Aptos Display"/>
      <charset val="1"/>
    </font>
    <font>
      <b/>
      <sz val="16"/>
      <color rgb="FFFFFFFF"/>
      <name val="Aptos Display"/>
      <charset val="1"/>
    </font>
    <font>
      <b/>
      <sz val="12"/>
      <color rgb="FFFFFFFF"/>
      <name val="Aptos Display"/>
      <charset val="1"/>
    </font>
    <font>
      <b/>
      <sz val="20"/>
      <name val="Aptos Display"/>
      <charset val="1"/>
    </font>
  </fonts>
  <fills count="6">
    <fill>
      <patternFill patternType="none"/>
    </fill>
    <fill>
      <patternFill patternType="gray125"/>
    </fill>
    <fill>
      <patternFill patternType="solid">
        <fgColor rgb="FF1F3864"/>
        <bgColor rgb="FF333333"/>
      </patternFill>
    </fill>
    <fill>
      <patternFill patternType="solid">
        <fgColor rgb="FFF4F7FC"/>
        <bgColor rgb="FFFFFFFF"/>
      </patternFill>
    </fill>
    <fill>
      <patternFill patternType="solid">
        <fgColor rgb="FFFFF2CC"/>
        <bgColor rgb="FFFBE4E4"/>
      </patternFill>
    </fill>
    <fill>
      <patternFill patternType="solid">
        <fgColor rgb="FF2E5496"/>
        <bgColor rgb="FF1F38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33">
    <xf numFmtId="0" fontId="0" fillId="0" borderId="0" xfId="0"/>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5" fillId="2"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0" fillId="0" borderId="0" xfId="0" applyAlignment="1">
      <alignment vertical="center"/>
    </xf>
    <xf numFmtId="0" fontId="3"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6" fillId="0" borderId="0" xfId="0" applyFont="1" applyAlignment="1">
      <alignment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0" fillId="0" borderId="4" xfId="0" applyBorder="1"/>
    <xf numFmtId="0" fontId="0" fillId="0" borderId="3" xfId="0" applyBorder="1"/>
    <xf numFmtId="1" fontId="4" fillId="0" borderId="1" xfId="0" applyNumberFormat="1" applyFont="1" applyBorder="1" applyAlignment="1">
      <alignment horizontal="left" vertical="center" wrapText="1"/>
    </xf>
    <xf numFmtId="0" fontId="11" fillId="5"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0" borderId="0" xfId="0" applyFont="1" applyAlignment="1">
      <alignment horizontal="left" vertical="center" wrapText="1"/>
    </xf>
    <xf numFmtId="0" fontId="0" fillId="0" borderId="0" xfId="0" applyAlignment="1">
      <alignment vertical="center"/>
    </xf>
    <xf numFmtId="0" fontId="3" fillId="3" borderId="1" xfId="0" applyFont="1" applyFill="1" applyBorder="1" applyAlignment="1">
      <alignment horizontal="left" vertical="center" wrapText="1"/>
    </xf>
    <xf numFmtId="0" fontId="2" fillId="0" borderId="0" xfId="0" applyFont="1" applyAlignment="1">
      <alignment horizontal="center" vertical="center" wrapText="1"/>
    </xf>
    <xf numFmtId="0" fontId="12" fillId="0" borderId="1" xfId="0" applyFont="1" applyBorder="1" applyAlignment="1">
      <alignment horizontal="center" vertical="center" wrapText="1"/>
    </xf>
    <xf numFmtId="0" fontId="10" fillId="2" borderId="0" xfId="0" applyFont="1" applyFill="1" applyAlignment="1">
      <alignment horizontal="center" vertical="center" wrapText="1"/>
    </xf>
    <xf numFmtId="0" fontId="3" fillId="0" borderId="1" xfId="0" applyFont="1" applyBorder="1" applyAlignment="1">
      <alignment horizontal="left" vertical="center" wrapText="1"/>
    </xf>
    <xf numFmtId="0" fontId="5" fillId="5" borderId="2" xfId="0" applyFont="1" applyFill="1" applyBorder="1" applyAlignment="1">
      <alignment horizontal="left" vertical="center" wrapText="1"/>
    </xf>
    <xf numFmtId="0" fontId="8" fillId="0" borderId="1" xfId="0" applyFont="1" applyBorder="1" applyAlignment="1">
      <alignment horizontal="left" vertical="center" wrapText="1"/>
    </xf>
    <xf numFmtId="0" fontId="4" fillId="4" borderId="1" xfId="0" applyFont="1" applyFill="1" applyBorder="1" applyAlignment="1">
      <alignment horizontal="left" vertical="center" wrapText="1"/>
    </xf>
    <xf numFmtId="0" fontId="1" fillId="2" borderId="0" xfId="0" applyFont="1" applyFill="1" applyAlignment="1">
      <alignment horizontal="left" vertical="center" wrapText="1"/>
    </xf>
    <xf numFmtId="0" fontId="9" fillId="0" borderId="1" xfId="0" applyFont="1" applyBorder="1" applyAlignment="1">
      <alignment horizontal="left" vertical="center" wrapText="1"/>
    </xf>
    <xf numFmtId="1" fontId="4" fillId="4" borderId="1" xfId="0" applyNumberFormat="1" applyFont="1" applyFill="1" applyBorder="1" applyAlignment="1">
      <alignment horizontal="left" vertical="center" wrapText="1"/>
    </xf>
    <xf numFmtId="0" fontId="5" fillId="2" borderId="1" xfId="0" applyFont="1" applyFill="1" applyBorder="1" applyAlignment="1">
      <alignment horizontal="center" vertical="center" wrapText="1"/>
    </xf>
  </cellXfs>
  <cellStyles count="1">
    <cellStyle name="Normal" xfId="0" builtinId="0"/>
  </cellStyles>
  <dxfs count="12">
    <dxf>
      <fill>
        <patternFill>
          <bgColor rgb="FFFBE4E4"/>
        </patternFill>
      </fill>
    </dxf>
    <dxf>
      <fill>
        <patternFill>
          <bgColor rgb="FFE2EFDA"/>
        </patternFill>
      </fill>
    </dxf>
    <dxf>
      <fill>
        <patternFill>
          <bgColor rgb="FFE2EFDA"/>
        </patternFill>
      </fill>
    </dxf>
    <dxf>
      <fill>
        <patternFill>
          <bgColor rgb="FFFFF2CC"/>
        </patternFill>
      </fill>
    </dxf>
    <dxf>
      <fill>
        <patternFill>
          <bgColor rgb="FFFBE4E4"/>
        </patternFill>
      </fill>
    </dxf>
    <dxf>
      <fill>
        <patternFill>
          <bgColor rgb="FFE2EFDA"/>
        </patternFill>
      </fill>
    </dxf>
    <dxf>
      <fill>
        <patternFill>
          <bgColor rgb="FFFBE4E4"/>
        </patternFill>
      </fill>
    </dxf>
    <dxf>
      <fill>
        <patternFill>
          <bgColor rgb="FFE2EFDA"/>
        </patternFill>
      </fill>
    </dxf>
    <dxf>
      <fill>
        <patternFill>
          <bgColor rgb="FFFFF2CC"/>
        </patternFill>
      </fill>
    </dxf>
    <dxf>
      <fill>
        <patternFill>
          <bgColor rgb="FFFBE4E4"/>
        </patternFill>
      </fill>
    </dxf>
    <dxf>
      <fill>
        <patternFill>
          <bgColor rgb="FFE2EFDA"/>
        </patternFill>
      </fill>
    </dxf>
    <dxf>
      <fill>
        <patternFill>
          <bgColor rgb="FFFBE4E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C1D1D"/>
      <rgbColor rgb="FF008000"/>
      <rgbColor rgb="FF000080"/>
      <rgbColor rgb="FF808000"/>
      <rgbColor rgb="FF800080"/>
      <rgbColor rgb="FF008080"/>
      <rgbColor rgb="FFBFBFBF"/>
      <rgbColor rgb="FF808080"/>
      <rgbColor rgb="FF9999FF"/>
      <rgbColor rgb="FF993366"/>
      <rgbColor rgb="FFFFF2CC"/>
      <rgbColor rgb="FFF4F7F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BE4E4"/>
      <rgbColor rgb="FF3366FF"/>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1"/>
  <sheetViews>
    <sheetView tabSelected="1" zoomScaleNormal="100" workbookViewId="0">
      <selection activeCell="G50" sqref="G50"/>
    </sheetView>
  </sheetViews>
  <sheetFormatPr defaultColWidth="8.6640625" defaultRowHeight="14.4" x14ac:dyDescent="0.3"/>
  <cols>
    <col min="1" max="1" width="13" style="5" customWidth="1"/>
    <col min="2" max="2" width="78" style="5" customWidth="1"/>
    <col min="3" max="3" width="8.88671875" style="5" customWidth="1"/>
    <col min="4" max="4" width="13.21875" style="5" customWidth="1"/>
    <col min="5" max="5" width="12" style="5" customWidth="1"/>
    <col min="6" max="6" width="7" style="5" customWidth="1"/>
    <col min="7" max="7" width="40" style="5" customWidth="1"/>
    <col min="8" max="8" width="8" style="5" customWidth="1"/>
    <col min="9" max="9" width="8.6640625" style="5" customWidth="1"/>
    <col min="10" max="16384" width="8.6640625" style="5"/>
  </cols>
  <sheetData>
    <row r="1" spans="1:8" ht="33" customHeight="1" x14ac:dyDescent="0.3">
      <c r="A1" s="29" t="s">
        <v>83</v>
      </c>
      <c r="B1" s="20"/>
      <c r="C1" s="20"/>
      <c r="D1" s="20"/>
      <c r="E1" s="20"/>
      <c r="F1" s="20"/>
      <c r="G1" s="20"/>
    </row>
    <row r="2" spans="1:8" ht="45" customHeight="1" x14ac:dyDescent="0.3">
      <c r="A2" s="19" t="s">
        <v>84</v>
      </c>
      <c r="B2" s="20"/>
      <c r="C2" s="20"/>
      <c r="D2" s="20"/>
      <c r="E2" s="20"/>
      <c r="F2" s="20"/>
      <c r="G2" s="20"/>
    </row>
    <row r="4" spans="1:8" ht="48.6" customHeight="1" x14ac:dyDescent="0.3">
      <c r="A4" s="6" t="s">
        <v>4</v>
      </c>
      <c r="B4" s="7"/>
      <c r="C4" s="21" t="s">
        <v>85</v>
      </c>
      <c r="D4" s="15"/>
      <c r="E4" s="31"/>
      <c r="F4" s="14"/>
      <c r="G4" s="15"/>
    </row>
    <row r="5" spans="1:8" ht="46.2" customHeight="1" x14ac:dyDescent="0.3">
      <c r="A5" s="6" t="s">
        <v>86</v>
      </c>
      <c r="B5" s="7"/>
      <c r="C5" s="21" t="s">
        <v>87</v>
      </c>
      <c r="D5" s="15"/>
      <c r="E5" s="28"/>
      <c r="F5" s="14"/>
      <c r="G5" s="15"/>
    </row>
    <row r="6" spans="1:8" ht="49.2" customHeight="1" x14ac:dyDescent="0.3">
      <c r="A6" s="6" t="s">
        <v>88</v>
      </c>
      <c r="B6" s="7"/>
      <c r="C6" s="21" t="s">
        <v>89</v>
      </c>
      <c r="D6" s="15"/>
      <c r="E6" s="28"/>
      <c r="F6" s="14"/>
      <c r="G6" s="15"/>
    </row>
    <row r="7" spans="1:8" ht="46.2" customHeight="1" x14ac:dyDescent="0.3">
      <c r="A7" s="6" t="s">
        <v>90</v>
      </c>
      <c r="B7" s="7"/>
      <c r="C7" s="21" t="s">
        <v>91</v>
      </c>
      <c r="D7" s="15"/>
      <c r="E7" s="28"/>
      <c r="F7" s="14"/>
      <c r="G7" s="15"/>
    </row>
    <row r="9" spans="1:8" ht="43.2" customHeight="1" x14ac:dyDescent="0.3">
      <c r="A9" s="4" t="s">
        <v>34</v>
      </c>
      <c r="B9" s="4" t="s">
        <v>92</v>
      </c>
      <c r="C9" s="4" t="s">
        <v>11</v>
      </c>
      <c r="D9" s="4" t="s">
        <v>93</v>
      </c>
      <c r="E9" s="4" t="s">
        <v>94</v>
      </c>
      <c r="F9" s="4" t="s">
        <v>95</v>
      </c>
      <c r="G9" s="4" t="s">
        <v>96</v>
      </c>
      <c r="H9" s="8" t="s">
        <v>97</v>
      </c>
    </row>
    <row r="10" spans="1:8" x14ac:dyDescent="0.3">
      <c r="A10" s="13" t="s">
        <v>38</v>
      </c>
      <c r="B10" s="15"/>
      <c r="C10" s="32">
        <v>8</v>
      </c>
      <c r="D10" s="3"/>
      <c r="E10" s="3"/>
      <c r="F10" s="3"/>
      <c r="G10" s="32" t="s">
        <v>98</v>
      </c>
    </row>
    <row r="11" spans="1:8" ht="34.049999999999997" customHeight="1" x14ac:dyDescent="0.3">
      <c r="A11" s="9" t="s">
        <v>99</v>
      </c>
      <c r="B11" s="1" t="s">
        <v>100</v>
      </c>
      <c r="C11" s="10">
        <v>2</v>
      </c>
      <c r="D11" s="11" t="s">
        <v>93</v>
      </c>
      <c r="E11" s="12"/>
      <c r="F11" s="10">
        <f>IF(E11="Yes",C11,IF(E11="Half",C11/2,0))</f>
        <v>0</v>
      </c>
      <c r="G11" s="7"/>
      <c r="H11" s="8">
        <f>IF(E11="Yes",0,IF(E11="Half",C11/2,C11)+(1000-ROW())/100000)</f>
        <v>2.00989</v>
      </c>
    </row>
    <row r="12" spans="1:8" ht="34.049999999999997" customHeight="1" x14ac:dyDescent="0.3">
      <c r="A12" s="9" t="s">
        <v>101</v>
      </c>
      <c r="B12" s="1" t="s">
        <v>102</v>
      </c>
      <c r="C12" s="10">
        <v>2</v>
      </c>
      <c r="D12" s="11" t="s">
        <v>93</v>
      </c>
      <c r="E12" s="12"/>
      <c r="F12" s="10">
        <f>IF(E12="Yes",C12,IF(E12="Half",C12/2,0))</f>
        <v>0</v>
      </c>
      <c r="G12" s="7"/>
      <c r="H12" s="8">
        <f>IF(E12="Yes",0,IF(E12="Half",C12/2,C12)+(1000-ROW())/100000)</f>
        <v>2.0098799999999999</v>
      </c>
    </row>
    <row r="13" spans="1:8" ht="49.05" customHeight="1" x14ac:dyDescent="0.3">
      <c r="A13" s="9" t="s">
        <v>41</v>
      </c>
      <c r="B13" s="1" t="s">
        <v>103</v>
      </c>
      <c r="C13" s="10">
        <v>2</v>
      </c>
      <c r="D13" s="11"/>
      <c r="E13" s="12"/>
      <c r="F13" s="10">
        <f>IF(E13="Yes",C13,IF(E13="Half",C13/2,0))</f>
        <v>0</v>
      </c>
      <c r="G13" s="7"/>
      <c r="H13" s="8">
        <f>IF(E13="Yes",0,IF(E13="Half",C13/2,C13)+(1000-ROW())/100000)</f>
        <v>2.0098699999999998</v>
      </c>
    </row>
    <row r="14" spans="1:8" ht="34.049999999999997" customHeight="1" x14ac:dyDescent="0.3">
      <c r="A14" s="9" t="s">
        <v>42</v>
      </c>
      <c r="B14" s="1" t="s">
        <v>104</v>
      </c>
      <c r="C14" s="10">
        <v>2</v>
      </c>
      <c r="D14" s="11"/>
      <c r="E14" s="12"/>
      <c r="F14" s="10">
        <f>IF(E14="Yes",C14,IF(E14="Half",C14/2,0))</f>
        <v>0</v>
      </c>
      <c r="G14" s="7"/>
      <c r="H14" s="8">
        <f>IF(E14="Yes",0,IF(E14="Half",C14/2,C14)+(1000-ROW())/100000)</f>
        <v>2.0098600000000002</v>
      </c>
    </row>
    <row r="15" spans="1:8" x14ac:dyDescent="0.3">
      <c r="A15" s="13" t="s">
        <v>43</v>
      </c>
      <c r="B15" s="15"/>
      <c r="C15" s="32">
        <v>16</v>
      </c>
      <c r="D15" s="3"/>
      <c r="E15" s="3"/>
      <c r="F15" s="3"/>
      <c r="G15" s="32" t="s">
        <v>105</v>
      </c>
    </row>
    <row r="16" spans="1:8" ht="34.049999999999997" customHeight="1" x14ac:dyDescent="0.3">
      <c r="A16" s="9" t="s">
        <v>106</v>
      </c>
      <c r="B16" s="1" t="s">
        <v>107</v>
      </c>
      <c r="C16" s="10">
        <v>3</v>
      </c>
      <c r="D16" s="11" t="s">
        <v>93</v>
      </c>
      <c r="E16" s="12"/>
      <c r="F16" s="10">
        <f t="shared" ref="F16:F21" si="0">IF(E16="Yes",C16,IF(E16="Half",C16/2,0))</f>
        <v>0</v>
      </c>
      <c r="G16" s="7"/>
      <c r="H16" s="8">
        <f t="shared" ref="H16:H21" si="1">IF(E16="Yes",0,IF(E16="Half",C16/2,C16)+(1000-ROW())/100000)</f>
        <v>3.0098400000000001</v>
      </c>
    </row>
    <row r="17" spans="1:8" ht="49.05" customHeight="1" x14ac:dyDescent="0.3">
      <c r="A17" s="9" t="s">
        <v>108</v>
      </c>
      <c r="B17" s="1" t="s">
        <v>109</v>
      </c>
      <c r="C17" s="10">
        <v>4</v>
      </c>
      <c r="D17" s="11" t="s">
        <v>93</v>
      </c>
      <c r="E17" s="12"/>
      <c r="F17" s="10">
        <f t="shared" si="0"/>
        <v>0</v>
      </c>
      <c r="G17" s="7"/>
      <c r="H17" s="8">
        <f t="shared" si="1"/>
        <v>4.00983</v>
      </c>
    </row>
    <row r="18" spans="1:8" ht="49.05" customHeight="1" x14ac:dyDescent="0.3">
      <c r="A18" s="9" t="s">
        <v>46</v>
      </c>
      <c r="B18" s="1" t="s">
        <v>110</v>
      </c>
      <c r="C18" s="10">
        <v>2</v>
      </c>
      <c r="D18" s="11"/>
      <c r="E18" s="12"/>
      <c r="F18" s="10">
        <f t="shared" si="0"/>
        <v>0</v>
      </c>
      <c r="G18" s="7"/>
      <c r="H18" s="8">
        <f t="shared" si="1"/>
        <v>2.0098199999999999</v>
      </c>
    </row>
    <row r="19" spans="1:8" ht="34.049999999999997" customHeight="1" x14ac:dyDescent="0.3">
      <c r="A19" s="9" t="s">
        <v>111</v>
      </c>
      <c r="B19" s="1" t="s">
        <v>112</v>
      </c>
      <c r="C19" s="10">
        <v>3</v>
      </c>
      <c r="D19" s="11" t="s">
        <v>93</v>
      </c>
      <c r="E19" s="12"/>
      <c r="F19" s="10">
        <f t="shared" si="0"/>
        <v>0</v>
      </c>
      <c r="G19" s="7"/>
      <c r="H19" s="8">
        <f t="shared" si="1"/>
        <v>3.0098099999999999</v>
      </c>
    </row>
    <row r="20" spans="1:8" ht="34.049999999999997" customHeight="1" x14ac:dyDescent="0.3">
      <c r="A20" s="9" t="s">
        <v>48</v>
      </c>
      <c r="B20" s="1" t="s">
        <v>113</v>
      </c>
      <c r="C20" s="10">
        <v>2</v>
      </c>
      <c r="D20" s="11"/>
      <c r="E20" s="12"/>
      <c r="F20" s="10">
        <f t="shared" si="0"/>
        <v>0</v>
      </c>
      <c r="G20" s="7"/>
      <c r="H20" s="8">
        <f t="shared" si="1"/>
        <v>2.0097999999999998</v>
      </c>
    </row>
    <row r="21" spans="1:8" ht="49.05" customHeight="1" x14ac:dyDescent="0.3">
      <c r="A21" s="9" t="s">
        <v>49</v>
      </c>
      <c r="B21" s="1" t="s">
        <v>114</v>
      </c>
      <c r="C21" s="10">
        <v>2</v>
      </c>
      <c r="D21" s="11"/>
      <c r="E21" s="12"/>
      <c r="F21" s="10">
        <f t="shared" si="0"/>
        <v>0</v>
      </c>
      <c r="G21" s="7"/>
      <c r="H21" s="8">
        <f t="shared" si="1"/>
        <v>2.0097900000000002</v>
      </c>
    </row>
    <row r="22" spans="1:8" x14ac:dyDescent="0.3">
      <c r="A22" s="13" t="s">
        <v>50</v>
      </c>
      <c r="B22" s="15"/>
      <c r="C22" s="32">
        <v>10</v>
      </c>
      <c r="D22" s="3"/>
      <c r="E22" s="3"/>
      <c r="F22" s="3"/>
      <c r="G22" s="32" t="s">
        <v>115</v>
      </c>
    </row>
    <row r="23" spans="1:8" ht="49.05" customHeight="1" x14ac:dyDescent="0.3">
      <c r="A23" s="9" t="s">
        <v>116</v>
      </c>
      <c r="B23" s="1" t="s">
        <v>117</v>
      </c>
      <c r="C23" s="10">
        <v>4</v>
      </c>
      <c r="D23" s="11" t="s">
        <v>93</v>
      </c>
      <c r="E23" s="12"/>
      <c r="F23" s="10">
        <f>IF(E23="Yes",C23,IF(E23="Half",C23/2,0))</f>
        <v>0</v>
      </c>
      <c r="G23" s="7"/>
      <c r="H23" s="8">
        <f>IF(E23="Yes",0,IF(E23="Half",C23/2,C23)+(1000-ROW())/100000)</f>
        <v>4.0097699999999996</v>
      </c>
    </row>
    <row r="24" spans="1:8" ht="34.049999999999997" customHeight="1" x14ac:dyDescent="0.3">
      <c r="A24" s="9" t="s">
        <v>118</v>
      </c>
      <c r="B24" s="1" t="s">
        <v>119</v>
      </c>
      <c r="C24" s="10">
        <v>3</v>
      </c>
      <c r="D24" s="11" t="s">
        <v>93</v>
      </c>
      <c r="E24" s="12"/>
      <c r="F24" s="10">
        <f>IF(E24="Yes",C24,IF(E24="Half",C24/2,0))</f>
        <v>0</v>
      </c>
      <c r="G24" s="7"/>
      <c r="H24" s="8">
        <f>IF(E24="Yes",0,IF(E24="Half",C24/2,C24)+(1000-ROW())/100000)</f>
        <v>3.00976</v>
      </c>
    </row>
    <row r="25" spans="1:8" ht="34.049999999999997" customHeight="1" x14ac:dyDescent="0.3">
      <c r="A25" s="9" t="s">
        <v>53</v>
      </c>
      <c r="B25" s="1" t="s">
        <v>120</v>
      </c>
      <c r="C25" s="10">
        <v>3</v>
      </c>
      <c r="D25" s="11"/>
      <c r="E25" s="12"/>
      <c r="F25" s="10">
        <f>IF(E25="Yes",C25,IF(E25="Half",C25/2,0))</f>
        <v>0</v>
      </c>
      <c r="G25" s="7"/>
      <c r="H25" s="8">
        <f>IF(E25="Yes",0,IF(E25="Half",C25/2,C25)+(1000-ROW())/100000)</f>
        <v>3.0097499999999999</v>
      </c>
    </row>
    <row r="26" spans="1:8" x14ac:dyDescent="0.3">
      <c r="A26" s="13" t="s">
        <v>54</v>
      </c>
      <c r="B26" s="15"/>
      <c r="C26" s="32">
        <v>22</v>
      </c>
      <c r="D26" s="3"/>
      <c r="E26" s="3"/>
      <c r="F26" s="3"/>
      <c r="G26" s="32" t="s">
        <v>121</v>
      </c>
    </row>
    <row r="27" spans="1:8" ht="49.05" customHeight="1" x14ac:dyDescent="0.3">
      <c r="A27" s="9" t="s">
        <v>55</v>
      </c>
      <c r="B27" s="1" t="s">
        <v>122</v>
      </c>
      <c r="C27" s="10">
        <v>3</v>
      </c>
      <c r="D27" s="11"/>
      <c r="E27" s="12"/>
      <c r="F27" s="10">
        <f t="shared" ref="F27:F32" si="2">IF(E27="Yes",C27,IF(E27="Half",C27/2,0))</f>
        <v>0</v>
      </c>
      <c r="G27" s="7"/>
      <c r="H27" s="8">
        <f t="shared" ref="H27:H32" si="3">IF(E27="Yes",0,IF(E27="Half",C27/2,C27)+(1000-ROW())/100000)</f>
        <v>3.0097299999999998</v>
      </c>
    </row>
    <row r="28" spans="1:8" ht="64.05" customHeight="1" x14ac:dyDescent="0.3">
      <c r="A28" s="9" t="s">
        <v>123</v>
      </c>
      <c r="B28" s="1" t="s">
        <v>124</v>
      </c>
      <c r="C28" s="10">
        <v>6</v>
      </c>
      <c r="D28" s="11" t="s">
        <v>93</v>
      </c>
      <c r="E28" s="12"/>
      <c r="F28" s="10">
        <f t="shared" si="2"/>
        <v>0</v>
      </c>
      <c r="G28" s="7"/>
      <c r="H28" s="8">
        <f t="shared" si="3"/>
        <v>6.0097199999999997</v>
      </c>
    </row>
    <row r="29" spans="1:8" ht="34.049999999999997" customHeight="1" x14ac:dyDescent="0.3">
      <c r="A29" s="9" t="s">
        <v>57</v>
      </c>
      <c r="B29" s="1" t="s">
        <v>125</v>
      </c>
      <c r="C29" s="10">
        <v>2</v>
      </c>
      <c r="D29" s="11"/>
      <c r="E29" s="12"/>
      <c r="F29" s="10">
        <f t="shared" si="2"/>
        <v>0</v>
      </c>
      <c r="G29" s="7"/>
      <c r="H29" s="8">
        <f t="shared" si="3"/>
        <v>2.0097100000000001</v>
      </c>
    </row>
    <row r="30" spans="1:8" ht="64.05" customHeight="1" x14ac:dyDescent="0.3">
      <c r="A30" s="9" t="s">
        <v>58</v>
      </c>
      <c r="B30" s="1" t="s">
        <v>126</v>
      </c>
      <c r="C30" s="10">
        <v>4</v>
      </c>
      <c r="D30" s="11"/>
      <c r="E30" s="12"/>
      <c r="F30" s="10">
        <f t="shared" si="2"/>
        <v>0</v>
      </c>
      <c r="G30" s="7"/>
      <c r="H30" s="8">
        <f t="shared" si="3"/>
        <v>4.0096999999999996</v>
      </c>
    </row>
    <row r="31" spans="1:8" ht="64.05" customHeight="1" x14ac:dyDescent="0.3">
      <c r="A31" s="9" t="s">
        <v>59</v>
      </c>
      <c r="B31" s="1" t="s">
        <v>127</v>
      </c>
      <c r="C31" s="10">
        <v>4</v>
      </c>
      <c r="D31" s="11"/>
      <c r="E31" s="12"/>
      <c r="F31" s="10">
        <f t="shared" si="2"/>
        <v>0</v>
      </c>
      <c r="G31" s="7"/>
      <c r="H31" s="8">
        <f t="shared" si="3"/>
        <v>4.00969</v>
      </c>
    </row>
    <row r="32" spans="1:8" ht="64.05" customHeight="1" x14ac:dyDescent="0.3">
      <c r="A32" s="9" t="s">
        <v>60</v>
      </c>
      <c r="B32" s="1" t="s">
        <v>128</v>
      </c>
      <c r="C32" s="10">
        <v>3</v>
      </c>
      <c r="D32" s="11"/>
      <c r="E32" s="12"/>
      <c r="F32" s="10">
        <f t="shared" si="2"/>
        <v>0</v>
      </c>
      <c r="G32" s="7"/>
      <c r="H32" s="8">
        <f t="shared" si="3"/>
        <v>3.0096799999999999</v>
      </c>
    </row>
    <row r="33" spans="1:8" x14ac:dyDescent="0.3">
      <c r="A33" s="13" t="s">
        <v>61</v>
      </c>
      <c r="B33" s="15"/>
      <c r="C33" s="32">
        <v>12</v>
      </c>
      <c r="D33" s="3"/>
      <c r="E33" s="3"/>
      <c r="F33" s="3"/>
      <c r="G33" s="32" t="s">
        <v>129</v>
      </c>
    </row>
    <row r="34" spans="1:8" ht="64.05" customHeight="1" x14ac:dyDescent="0.3">
      <c r="A34" s="9" t="s">
        <v>130</v>
      </c>
      <c r="B34" s="1" t="s">
        <v>131</v>
      </c>
      <c r="C34" s="10">
        <v>5</v>
      </c>
      <c r="D34" s="11" t="s">
        <v>93</v>
      </c>
      <c r="E34" s="12"/>
      <c r="F34" s="10">
        <f>IF(E34="Yes",C34,IF(E34="Half",C34/2,0))</f>
        <v>0</v>
      </c>
      <c r="G34" s="7"/>
      <c r="H34" s="8">
        <f>IF(E34="Yes",0,IF(E34="Half",C34/2,C34)+(1000-ROW())/100000)</f>
        <v>5.0096600000000002</v>
      </c>
    </row>
    <row r="35" spans="1:8" ht="49.05" customHeight="1" x14ac:dyDescent="0.3">
      <c r="A35" s="9" t="s">
        <v>63</v>
      </c>
      <c r="B35" s="1" t="s">
        <v>132</v>
      </c>
      <c r="C35" s="10">
        <v>3</v>
      </c>
      <c r="D35" s="11"/>
      <c r="E35" s="12"/>
      <c r="F35" s="10">
        <f>IF(E35="Yes",C35,IF(E35="Half",C35/2,0))</f>
        <v>0</v>
      </c>
      <c r="G35" s="7"/>
      <c r="H35" s="8">
        <f>IF(E35="Yes",0,IF(E35="Half",C35/2,C35)+(1000-ROW())/100000)</f>
        <v>3.0096500000000002</v>
      </c>
    </row>
    <row r="36" spans="1:8" ht="34.049999999999997" customHeight="1" x14ac:dyDescent="0.3">
      <c r="A36" s="9" t="s">
        <v>64</v>
      </c>
      <c r="B36" s="1" t="s">
        <v>133</v>
      </c>
      <c r="C36" s="10">
        <v>2</v>
      </c>
      <c r="D36" s="11"/>
      <c r="E36" s="12"/>
      <c r="F36" s="10">
        <f>IF(E36="Yes",C36,IF(E36="Half",C36/2,0))</f>
        <v>0</v>
      </c>
      <c r="G36" s="7"/>
      <c r="H36" s="8">
        <f>IF(E36="Yes",0,IF(E36="Half",C36/2,C36)+(1000-ROW())/100000)</f>
        <v>2.0096400000000001</v>
      </c>
    </row>
    <row r="37" spans="1:8" ht="34.049999999999997" customHeight="1" x14ac:dyDescent="0.3">
      <c r="A37" s="9" t="s">
        <v>65</v>
      </c>
      <c r="B37" s="1" t="s">
        <v>134</v>
      </c>
      <c r="C37" s="10">
        <v>2</v>
      </c>
      <c r="D37" s="11"/>
      <c r="E37" s="12"/>
      <c r="F37" s="10">
        <f>IF(E37="Yes",C37,IF(E37="Half",C37/2,0))</f>
        <v>0</v>
      </c>
      <c r="G37" s="7"/>
      <c r="H37" s="8">
        <f>IF(E37="Yes",0,IF(E37="Half",C37/2,C37)+(1000-ROW())/100000)</f>
        <v>2.00963</v>
      </c>
    </row>
    <row r="38" spans="1:8" x14ac:dyDescent="0.3">
      <c r="A38" s="13" t="s">
        <v>66</v>
      </c>
      <c r="B38" s="15"/>
      <c r="C38" s="32">
        <v>8</v>
      </c>
      <c r="D38" s="3"/>
      <c r="E38" s="3"/>
      <c r="F38" s="3"/>
      <c r="G38" s="32" t="s">
        <v>135</v>
      </c>
    </row>
    <row r="39" spans="1:8" ht="34.049999999999997" customHeight="1" x14ac:dyDescent="0.3">
      <c r="A39" s="9" t="s">
        <v>67</v>
      </c>
      <c r="B39" s="1" t="s">
        <v>136</v>
      </c>
      <c r="C39" s="10">
        <v>2</v>
      </c>
      <c r="D39" s="11"/>
      <c r="E39" s="12"/>
      <c r="F39" s="10">
        <f>IF(E39="Yes",C39,IF(E39="Half",C39/2,0))</f>
        <v>0</v>
      </c>
      <c r="G39" s="7"/>
      <c r="H39" s="8">
        <f>IF(E39="Yes",0,IF(E39="Half",C39/2,C39)+(1000-ROW())/100000)</f>
        <v>2.0096099999999999</v>
      </c>
    </row>
    <row r="40" spans="1:8" ht="49.05" customHeight="1" x14ac:dyDescent="0.3">
      <c r="A40" s="9" t="s">
        <v>137</v>
      </c>
      <c r="B40" s="1" t="s">
        <v>138</v>
      </c>
      <c r="C40" s="10">
        <v>3</v>
      </c>
      <c r="D40" s="11" t="s">
        <v>93</v>
      </c>
      <c r="E40" s="12"/>
      <c r="F40" s="10">
        <f>IF(E40="Yes",C40,IF(E40="Half",C40/2,0))</f>
        <v>0</v>
      </c>
      <c r="G40" s="7"/>
      <c r="H40" s="8">
        <f>IF(E40="Yes",0,IF(E40="Half",C40/2,C40)+(1000-ROW())/100000)</f>
        <v>3.0095999999999998</v>
      </c>
    </row>
    <row r="41" spans="1:8" ht="34.049999999999997" customHeight="1" x14ac:dyDescent="0.3">
      <c r="A41" s="9" t="s">
        <v>69</v>
      </c>
      <c r="B41" s="1" t="s">
        <v>139</v>
      </c>
      <c r="C41" s="10">
        <v>3</v>
      </c>
      <c r="D41" s="11"/>
      <c r="E41" s="12"/>
      <c r="F41" s="10">
        <f>IF(E41="Yes",C41,IF(E41="Half",C41/2,0))</f>
        <v>0</v>
      </c>
      <c r="G41" s="7"/>
      <c r="H41" s="8">
        <f>IF(E41="Yes",0,IF(E41="Half",C41/2,C41)+(1000-ROW())/100000)</f>
        <v>3.0095900000000002</v>
      </c>
    </row>
    <row r="42" spans="1:8" x14ac:dyDescent="0.3">
      <c r="A42" s="13" t="s">
        <v>70</v>
      </c>
      <c r="B42" s="15"/>
      <c r="C42" s="32">
        <v>8</v>
      </c>
      <c r="D42" s="3"/>
      <c r="E42" s="3"/>
      <c r="F42" s="3"/>
      <c r="G42" s="32" t="s">
        <v>140</v>
      </c>
    </row>
    <row r="43" spans="1:8" ht="49.05" customHeight="1" x14ac:dyDescent="0.3">
      <c r="A43" s="9" t="s">
        <v>71</v>
      </c>
      <c r="B43" s="1" t="s">
        <v>141</v>
      </c>
      <c r="C43" s="10">
        <v>3</v>
      </c>
      <c r="D43" s="11"/>
      <c r="E43" s="12"/>
      <c r="F43" s="10">
        <f>IF(E43="Yes",C43,IF(E43="Half",C43/2,0))</f>
        <v>0</v>
      </c>
      <c r="G43" s="7"/>
      <c r="H43" s="8">
        <f>IF(E43="Yes",0,IF(E43="Half",C43/2,C43)+(1000-ROW())/100000)</f>
        <v>3.0095700000000001</v>
      </c>
    </row>
    <row r="44" spans="1:8" ht="30" customHeight="1" x14ac:dyDescent="0.3">
      <c r="A44" s="9" t="s">
        <v>72</v>
      </c>
      <c r="B44" s="1" t="s">
        <v>142</v>
      </c>
      <c r="C44" s="10">
        <v>2</v>
      </c>
      <c r="D44" s="11"/>
      <c r="E44" s="12"/>
      <c r="F44" s="10">
        <f>IF(E44="Yes",C44,IF(E44="Half",C44/2,0))</f>
        <v>0</v>
      </c>
      <c r="G44" s="7"/>
      <c r="H44" s="8">
        <f>IF(E44="Yes",0,IF(E44="Half",C44/2,C44)+(1000-ROW())/100000)</f>
        <v>2.00956</v>
      </c>
    </row>
    <row r="45" spans="1:8" ht="34.049999999999997" customHeight="1" x14ac:dyDescent="0.3">
      <c r="A45" s="9" t="s">
        <v>143</v>
      </c>
      <c r="B45" s="1" t="s">
        <v>144</v>
      </c>
      <c r="C45" s="10">
        <v>3</v>
      </c>
      <c r="D45" s="11" t="s">
        <v>93</v>
      </c>
      <c r="E45" s="12"/>
      <c r="F45" s="10">
        <f>IF(E45="Yes",C45,IF(E45="Half",C45/2,0))</f>
        <v>0</v>
      </c>
      <c r="G45" s="7"/>
      <c r="H45" s="8">
        <f>IF(E45="Yes",0,IF(E45="Half",C45/2,C45)+(1000-ROW())/100000)</f>
        <v>3.0095499999999999</v>
      </c>
    </row>
    <row r="46" spans="1:8" x14ac:dyDescent="0.3">
      <c r="A46" s="13" t="s">
        <v>74</v>
      </c>
      <c r="B46" s="15"/>
      <c r="C46" s="32">
        <v>8</v>
      </c>
      <c r="D46" s="3"/>
      <c r="E46" s="3"/>
      <c r="F46" s="3"/>
      <c r="G46" s="32" t="s">
        <v>145</v>
      </c>
    </row>
    <row r="47" spans="1:8" ht="34.049999999999997" customHeight="1" x14ac:dyDescent="0.3">
      <c r="A47" s="9" t="s">
        <v>75</v>
      </c>
      <c r="B47" s="1" t="s">
        <v>146</v>
      </c>
      <c r="C47" s="10">
        <v>3</v>
      </c>
      <c r="D47" s="11"/>
      <c r="E47" s="12"/>
      <c r="F47" s="10">
        <f>IF(E47="Yes",C47,IF(E47="Half",C47/2,0))</f>
        <v>0</v>
      </c>
      <c r="G47" s="7"/>
      <c r="H47" s="8">
        <f>IF(E47="Yes",0,IF(E47="Half",C47/2,C47)+(1000-ROW())/100000)</f>
        <v>3.0095299999999998</v>
      </c>
    </row>
    <row r="48" spans="1:8" ht="34.049999999999997" customHeight="1" x14ac:dyDescent="0.3">
      <c r="A48" s="9" t="s">
        <v>76</v>
      </c>
      <c r="B48" s="1" t="s">
        <v>147</v>
      </c>
      <c r="C48" s="10">
        <v>2</v>
      </c>
      <c r="D48" s="11"/>
      <c r="E48" s="12"/>
      <c r="F48" s="10">
        <f>IF(E48="Yes",C48,IF(E48="Half",C48/2,0))</f>
        <v>0</v>
      </c>
      <c r="G48" s="7"/>
      <c r="H48" s="8">
        <f>IF(E48="Yes",0,IF(E48="Half",C48/2,C48)+(1000-ROW())/100000)</f>
        <v>2.0095200000000002</v>
      </c>
    </row>
    <row r="49" spans="1:8" ht="49.05" customHeight="1" x14ac:dyDescent="0.3">
      <c r="A49" s="9" t="s">
        <v>77</v>
      </c>
      <c r="B49" s="1" t="s">
        <v>148</v>
      </c>
      <c r="C49" s="10">
        <v>3</v>
      </c>
      <c r="D49" s="11"/>
      <c r="E49" s="12"/>
      <c r="F49" s="10">
        <f>IF(E49="Yes",C49,IF(E49="Half",C49/2,0))</f>
        <v>0</v>
      </c>
      <c r="G49" s="7"/>
      <c r="H49" s="8">
        <f>IF(E49="Yes",0,IF(E49="Half",C49/2,C49)+(1000-ROW())/100000)</f>
        <v>3.0095100000000001</v>
      </c>
    </row>
    <row r="50" spans="1:8" x14ac:dyDescent="0.3">
      <c r="A50" s="13" t="s">
        <v>78</v>
      </c>
      <c r="B50" s="15"/>
      <c r="C50" s="32">
        <v>8</v>
      </c>
      <c r="D50" s="3"/>
      <c r="E50" s="3"/>
      <c r="F50" s="3"/>
      <c r="G50" s="32" t="s">
        <v>149</v>
      </c>
    </row>
    <row r="51" spans="1:8" ht="34.049999999999997" customHeight="1" x14ac:dyDescent="0.3">
      <c r="A51" s="9" t="s">
        <v>79</v>
      </c>
      <c r="B51" s="1" t="s">
        <v>150</v>
      </c>
      <c r="C51" s="10">
        <v>3</v>
      </c>
      <c r="D51" s="11"/>
      <c r="E51" s="12"/>
      <c r="F51" s="10">
        <f>IF(E51="Yes",C51,IF(E51="Half",C51/2,0))</f>
        <v>0</v>
      </c>
      <c r="G51" s="7"/>
      <c r="H51" s="8">
        <f>IF(E51="Yes",0,IF(E51="Half",C51/2,C51)+(1000-ROW())/100000)</f>
        <v>3.00949</v>
      </c>
    </row>
    <row r="52" spans="1:8" ht="34.049999999999997" customHeight="1" x14ac:dyDescent="0.3">
      <c r="A52" s="9" t="s">
        <v>80</v>
      </c>
      <c r="B52" s="1" t="s">
        <v>151</v>
      </c>
      <c r="C52" s="10">
        <v>2</v>
      </c>
      <c r="D52" s="11"/>
      <c r="E52" s="12"/>
      <c r="F52" s="10">
        <f>IF(E52="Yes",C52,IF(E52="Half",C52/2,0))</f>
        <v>0</v>
      </c>
      <c r="G52" s="7"/>
      <c r="H52" s="8">
        <f>IF(E52="Yes",0,IF(E52="Half",C52/2,C52)+(1000-ROW())/100000)</f>
        <v>2.0094799999999999</v>
      </c>
    </row>
    <row r="53" spans="1:8" ht="49.05" customHeight="1" x14ac:dyDescent="0.3">
      <c r="A53" s="9" t="s">
        <v>81</v>
      </c>
      <c r="B53" s="1" t="s">
        <v>152</v>
      </c>
      <c r="C53" s="10">
        <v>3</v>
      </c>
      <c r="D53" s="11"/>
      <c r="E53" s="12"/>
      <c r="F53" s="10">
        <f>IF(E53="Yes",C53,IF(E53="Half",C53/2,0))</f>
        <v>0</v>
      </c>
      <c r="G53" s="7"/>
      <c r="H53" s="8">
        <f>IF(E53="Yes",0,IF(E53="Half",C53/2,C53)+(1000-ROW())/100000)</f>
        <v>3.0094699999999999</v>
      </c>
    </row>
    <row r="55" spans="1:8" x14ac:dyDescent="0.3">
      <c r="A55" s="21" t="s">
        <v>153</v>
      </c>
      <c r="B55" s="15"/>
      <c r="C55" s="25" t="str">
        <f>IF(OR(E4="",E5="",E6=""),"Fill length, same-day and audible",IF(AND(E4&gt;=10,E4&lt;=20,E5="Yes",E6="Yes"),"YES","NO — not accepted"))</f>
        <v>Fill length, same-day and audible</v>
      </c>
      <c r="D55" s="14"/>
      <c r="E55" s="14"/>
      <c r="F55" s="14"/>
      <c r="G55" s="15"/>
    </row>
    <row r="56" spans="1:8" x14ac:dyDescent="0.3">
      <c r="A56" s="21" t="s">
        <v>154</v>
      </c>
      <c r="B56" s="15"/>
      <c r="C56" s="25">
        <v>100</v>
      </c>
      <c r="D56" s="14"/>
      <c r="E56" s="14"/>
      <c r="F56" s="14"/>
      <c r="G56" s="15"/>
    </row>
    <row r="57" spans="1:8" x14ac:dyDescent="0.3">
      <c r="A57" s="21" t="s">
        <v>155</v>
      </c>
      <c r="B57" s="15"/>
      <c r="C57" s="25">
        <f>SUM(F11:F53)</f>
        <v>0</v>
      </c>
      <c r="D57" s="14"/>
      <c r="E57" s="14"/>
      <c r="F57" s="14"/>
      <c r="G57" s="15"/>
    </row>
    <row r="58" spans="1:8" ht="18" customHeight="1" x14ac:dyDescent="0.3">
      <c r="A58" s="21" t="s">
        <v>156</v>
      </c>
      <c r="B58" s="15"/>
      <c r="C58" s="27">
        <f>ROUND(C57/C56*100,0)</f>
        <v>0</v>
      </c>
      <c r="D58" s="14"/>
      <c r="E58" s="14"/>
      <c r="F58" s="14"/>
      <c r="G58" s="15"/>
    </row>
    <row r="59" spans="1:8" x14ac:dyDescent="0.3">
      <c r="A59" s="21" t="s">
        <v>157</v>
      </c>
      <c r="B59" s="15"/>
      <c r="C59" s="25">
        <f>IF(E11&lt;&gt;"Yes",1,0)+IF(E12&lt;&gt;"Yes",1,0)+IF(E16&lt;&gt;"Yes",1,0)+IF(E17&lt;&gt;"Yes",1,0)+IF(E19&lt;&gt;"Yes",1,0)+IF(E23&lt;&gt;"Yes",1,0)+IF(E24&lt;&gt;"Yes",1,0)+IF(E28&lt;&gt;"Yes",1,0)+IF(E34&lt;&gt;"Yes",1,0)+IF(E40&lt;&gt;"Yes",1,0)+IF(E45&lt;&gt;"Yes",1,0)</f>
        <v>11</v>
      </c>
      <c r="D59" s="14"/>
      <c r="E59" s="14"/>
      <c r="F59" s="14"/>
      <c r="G59" s="15"/>
    </row>
    <row r="60" spans="1:8" x14ac:dyDescent="0.3">
      <c r="A60" s="21" t="s">
        <v>158</v>
      </c>
      <c r="B60" s="15"/>
      <c r="C60" s="25" t="str">
        <f>IF(C59=0,"None",_xlfn.TEXTJOIN(", ",TRUE(),IF(E11&lt;&gt;"Yes",A11,""),IF(E12&lt;&gt;"Yes",A12,""),IF(E16&lt;&gt;"Yes",A16,""),IF(E17&lt;&gt;"Yes",A17,""),IF(E19&lt;&gt;"Yes",A19,""),IF(E23&lt;&gt;"Yes",A23,""),IF(E24&lt;&gt;"Yes",A24,""),IF(E28&lt;&gt;"Yes",A28,""),IF(E34&lt;&gt;"Yes",A34,""),IF(E40&lt;&gt;"Yes",A40,""),IF(E45&lt;&gt;"Yes",A45,"")))</f>
        <v>A1, A2, B1, B2, B4, C1, C2, D2, E1, F2, G3</v>
      </c>
      <c r="D60" s="14"/>
      <c r="E60" s="14"/>
      <c r="F60" s="14"/>
      <c r="G60" s="15"/>
    </row>
    <row r="61" spans="1:8" ht="33.6" customHeight="1" x14ac:dyDescent="0.3">
      <c r="A61" s="21" t="s">
        <v>8</v>
      </c>
      <c r="B61" s="15"/>
      <c r="C61" s="30" t="str">
        <f>IF(C55&lt;&gt;"YES","NOT ACCEPTED — recording under 10 min / over 20 min / not uploaded same day / not audible. Call again.",IF(C59&gt;0,"NOT ACCEPTED — MUST item(s) missed: "&amp;C60&amp;". Call the customer again for the missed points.",IF(C58&gt;=90,"EXCELLENT — accepted. Score "&amp;C58&amp;"/100.",IF(C58&gt;=75,"ACCEPTED — Score "&amp;C58&amp;"/100. See My Result for what to do better.","NOT ACCEPTED — Score "&amp;C58&amp;"/100 is below 75. Call the customer again for the missed points."))))</f>
        <v>NOT ACCEPTED — recording under 10 min / over 20 min / not uploaded same day / not audible. Call again.</v>
      </c>
      <c r="D61" s="14"/>
      <c r="E61" s="14"/>
      <c r="F61" s="14"/>
      <c r="G61" s="15"/>
    </row>
  </sheetData>
  <mergeCells count="33">
    <mergeCell ref="A1:G1"/>
    <mergeCell ref="A57:B57"/>
    <mergeCell ref="A33:B33"/>
    <mergeCell ref="C60:G60"/>
    <mergeCell ref="A42:B42"/>
    <mergeCell ref="A22:B22"/>
    <mergeCell ref="A38:B38"/>
    <mergeCell ref="C7:D7"/>
    <mergeCell ref="E5:G5"/>
    <mergeCell ref="A10:B10"/>
    <mergeCell ref="C57:G57"/>
    <mergeCell ref="A2:G2"/>
    <mergeCell ref="E4:G4"/>
    <mergeCell ref="A58:B58"/>
    <mergeCell ref="C5:D5"/>
    <mergeCell ref="A61:B61"/>
    <mergeCell ref="E6:G6"/>
    <mergeCell ref="C4:D4"/>
    <mergeCell ref="A46:B46"/>
    <mergeCell ref="C55:G55"/>
    <mergeCell ref="A56:B56"/>
    <mergeCell ref="E7:G7"/>
    <mergeCell ref="A55:B55"/>
    <mergeCell ref="C56:G56"/>
    <mergeCell ref="A50:B50"/>
    <mergeCell ref="A26:B26"/>
    <mergeCell ref="C59:G59"/>
    <mergeCell ref="C61:G61"/>
    <mergeCell ref="C6:D6"/>
    <mergeCell ref="A15:B15"/>
    <mergeCell ref="A59:B59"/>
    <mergeCell ref="A60:B60"/>
    <mergeCell ref="C58:G58"/>
  </mergeCells>
  <conditionalFormatting sqref="C61">
    <cfRule type="expression" dxfId="11" priority="2">
      <formula>LEFT(C61,3)="NOT"</formula>
    </cfRule>
    <cfRule type="expression" dxfId="10" priority="3">
      <formula>LEFT(C61,3)&lt;&gt;"NOT"</formula>
    </cfRule>
  </conditionalFormatting>
  <conditionalFormatting sqref="E11:E53">
    <cfRule type="cellIs" dxfId="9" priority="4" operator="equal">
      <formula>"No"</formula>
    </cfRule>
    <cfRule type="cellIs" dxfId="8" priority="5" operator="equal">
      <formula>"Half"</formula>
    </cfRule>
    <cfRule type="cellIs" dxfId="7" priority="6" operator="equal">
      <formula>"Yes"</formula>
    </cfRule>
  </conditionalFormatting>
  <dataValidations count="2">
    <dataValidation type="list" allowBlank="1" sqref="E5:E6" xr:uid="{00000000-0002-0000-0000-000000000000}">
      <formula1>"Yes,No"</formula1>
      <formula2>0</formula2>
    </dataValidation>
    <dataValidation type="list" allowBlank="1" sqref="E11 E12 E13 E14 E16 E17 E18 E19 E20 E21 E23 E24 E25 E27 E28 E29 E30 E31 E32 E34 E35 E36 E37 E39 E40 E41 E43 E44 E45 E47 E48 E49 E51 E52 E53" xr:uid="{00000000-0002-0000-0000-000001000000}">
      <formula1>"Yes,Half,No"</formula1>
      <formula2>0</formula2>
    </dataValidation>
  </dataValidations>
  <pageMargins left="0.75" right="0.75" top="1" bottom="1" header="0.511811023622047" footer="0.511811023622047"/>
  <pageSetup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496"/>
    <pageSetUpPr fitToPage="1"/>
  </sheetPr>
  <dimension ref="A1:F76"/>
  <sheetViews>
    <sheetView topLeftCell="A57" zoomScaleNormal="100" workbookViewId="0">
      <selection activeCell="B42" sqref="B42"/>
    </sheetView>
  </sheetViews>
  <sheetFormatPr defaultColWidth="8.6640625" defaultRowHeight="14.4" x14ac:dyDescent="0.3"/>
  <cols>
    <col min="1" max="1" width="7" style="5" customWidth="1"/>
    <col min="2" max="2" width="70" style="5" customWidth="1"/>
    <col min="3" max="4" width="9" style="5" customWidth="1"/>
    <col min="5" max="5" width="12" style="5" customWidth="1"/>
    <col min="6" max="6" width="53.44140625" style="5" customWidth="1"/>
    <col min="7" max="7" width="8.6640625" style="5" customWidth="1"/>
    <col min="8" max="16384" width="8.6640625" style="5"/>
  </cols>
  <sheetData>
    <row r="1" spans="1:6" ht="25.5" customHeight="1" x14ac:dyDescent="0.3">
      <c r="A1" s="24" t="s">
        <v>0</v>
      </c>
      <c r="B1" s="20"/>
      <c r="C1" s="20"/>
      <c r="D1" s="20"/>
      <c r="E1" s="20"/>
      <c r="F1" s="20"/>
    </row>
    <row r="2" spans="1:6" ht="24" customHeight="1" x14ac:dyDescent="0.3">
      <c r="A2" s="22" t="s">
        <v>1</v>
      </c>
      <c r="B2" s="20"/>
      <c r="C2" s="20"/>
      <c r="D2" s="20"/>
      <c r="E2" s="20"/>
      <c r="F2" s="20"/>
    </row>
    <row r="4" spans="1:6" ht="15" customHeight="1" x14ac:dyDescent="0.3">
      <c r="A4" s="21" t="s">
        <v>2</v>
      </c>
      <c r="B4" s="15"/>
      <c r="C4" s="18">
        <f>Scorecard!B6</f>
        <v>0</v>
      </c>
      <c r="D4" s="14"/>
      <c r="E4" s="14"/>
      <c r="F4" s="15"/>
    </row>
    <row r="5" spans="1:6" ht="15" customHeight="1" x14ac:dyDescent="0.3">
      <c r="A5" s="21" t="s">
        <v>3</v>
      </c>
      <c r="B5" s="15"/>
      <c r="C5" s="18">
        <f>Scorecard!B5</f>
        <v>0</v>
      </c>
      <c r="D5" s="14"/>
      <c r="E5" s="14"/>
      <c r="F5" s="15"/>
    </row>
    <row r="6" spans="1:6" ht="15" customHeight="1" x14ac:dyDescent="0.3">
      <c r="A6" s="21" t="s">
        <v>4</v>
      </c>
      <c r="B6" s="15"/>
      <c r="C6" s="18">
        <f>Scorecard!B4</f>
        <v>0</v>
      </c>
      <c r="D6" s="14"/>
      <c r="E6" s="14"/>
      <c r="F6" s="15"/>
    </row>
    <row r="7" spans="1:6" ht="15" customHeight="1" x14ac:dyDescent="0.3">
      <c r="A7" s="21" t="s">
        <v>5</v>
      </c>
      <c r="B7" s="15"/>
      <c r="C7" s="18">
        <f>Scorecard!B7</f>
        <v>0</v>
      </c>
      <c r="D7" s="14"/>
      <c r="E7" s="14"/>
      <c r="F7" s="15"/>
    </row>
    <row r="8" spans="1:6" ht="15" customHeight="1" x14ac:dyDescent="0.3">
      <c r="A8" s="21" t="s">
        <v>6</v>
      </c>
      <c r="B8" s="15"/>
      <c r="C8" s="16">
        <f>Scorecard!E4</f>
        <v>0</v>
      </c>
      <c r="D8" s="14"/>
      <c r="E8" s="14"/>
      <c r="F8" s="15"/>
    </row>
    <row r="10" spans="1:6" ht="33.75" customHeight="1" x14ac:dyDescent="0.3">
      <c r="A10" s="17" t="s">
        <v>7</v>
      </c>
      <c r="B10" s="15"/>
      <c r="C10" s="23" t="str">
        <f>Scorecard!C58&amp;" / 100"</f>
        <v>0 / 100</v>
      </c>
      <c r="D10" s="14"/>
      <c r="E10" s="14"/>
      <c r="F10" s="15"/>
    </row>
    <row r="11" spans="1:6" ht="39.75" customHeight="1" x14ac:dyDescent="0.3">
      <c r="A11" s="17" t="s">
        <v>8</v>
      </c>
      <c r="B11" s="15"/>
      <c r="C11" s="25" t="str">
        <f>Scorecard!C61</f>
        <v>NOT ACCEPTED — recording under 10 min / over 20 min / not uploaded same day / not audible. Call again.</v>
      </c>
      <c r="D11" s="14"/>
      <c r="E11" s="14"/>
      <c r="F11" s="15"/>
    </row>
    <row r="12" spans="1:6" ht="15" customHeight="1" x14ac:dyDescent="0.3">
      <c r="A12" s="19" t="s">
        <v>9</v>
      </c>
      <c r="B12" s="20"/>
      <c r="C12" s="20"/>
      <c r="D12" s="20"/>
      <c r="E12" s="20"/>
      <c r="F12" s="20"/>
    </row>
    <row r="14" spans="1:6" x14ac:dyDescent="0.3">
      <c r="A14" s="4"/>
      <c r="B14" s="4" t="s">
        <v>10</v>
      </c>
      <c r="C14" s="4" t="s">
        <v>11</v>
      </c>
      <c r="D14" s="4" t="s">
        <v>12</v>
      </c>
      <c r="E14" s="4" t="s">
        <v>13</v>
      </c>
      <c r="F14" s="4" t="s">
        <v>14</v>
      </c>
    </row>
    <row r="15" spans="1:6" x14ac:dyDescent="0.3">
      <c r="A15" s="9" t="s">
        <v>15</v>
      </c>
      <c r="B15" s="1" t="s">
        <v>16</v>
      </c>
      <c r="C15" s="10">
        <v>8</v>
      </c>
      <c r="D15" s="10">
        <f>SUM(Scorecard!F11:F14)</f>
        <v>0</v>
      </c>
      <c r="E15" s="10" t="str">
        <f t="shared" ref="E15:E23" si="0">ROUND(D15/C15*100,0)&amp;"%"</f>
        <v>0%</v>
      </c>
      <c r="F15" s="1" t="str">
        <f t="shared" ref="F15:F23" si="1">IF(D15=C15,"Fully covered",IF(D15&gt;=C15*0.75,"Good — small gaps",IF(D15&gt;=C15*0.5,"Weak — see items below","Mostly missed — see items below")))</f>
        <v>Mostly missed — see items below</v>
      </c>
    </row>
    <row r="16" spans="1:6" x14ac:dyDescent="0.3">
      <c r="A16" s="9" t="s">
        <v>17</v>
      </c>
      <c r="B16" s="1" t="s">
        <v>18</v>
      </c>
      <c r="C16" s="10">
        <v>16</v>
      </c>
      <c r="D16" s="10">
        <f>SUM(Scorecard!F16:F21)</f>
        <v>0</v>
      </c>
      <c r="E16" s="10" t="str">
        <f t="shared" si="0"/>
        <v>0%</v>
      </c>
      <c r="F16" s="1" t="str">
        <f t="shared" si="1"/>
        <v>Mostly missed — see items below</v>
      </c>
    </row>
    <row r="17" spans="1:6" x14ac:dyDescent="0.3">
      <c r="A17" s="9" t="s">
        <v>19</v>
      </c>
      <c r="B17" s="1" t="s">
        <v>20</v>
      </c>
      <c r="C17" s="10">
        <v>10</v>
      </c>
      <c r="D17" s="10">
        <f>SUM(Scorecard!F23:F25)</f>
        <v>0</v>
      </c>
      <c r="E17" s="10" t="str">
        <f t="shared" si="0"/>
        <v>0%</v>
      </c>
      <c r="F17" s="1" t="str">
        <f t="shared" si="1"/>
        <v>Mostly missed — see items below</v>
      </c>
    </row>
    <row r="18" spans="1:6" x14ac:dyDescent="0.3">
      <c r="A18" s="9" t="s">
        <v>21</v>
      </c>
      <c r="B18" s="1" t="s">
        <v>22</v>
      </c>
      <c r="C18" s="10">
        <v>22</v>
      </c>
      <c r="D18" s="10">
        <f>SUM(Scorecard!F27:F32)</f>
        <v>0</v>
      </c>
      <c r="E18" s="10" t="str">
        <f t="shared" si="0"/>
        <v>0%</v>
      </c>
      <c r="F18" s="1" t="str">
        <f t="shared" si="1"/>
        <v>Mostly missed — see items below</v>
      </c>
    </row>
    <row r="19" spans="1:6" x14ac:dyDescent="0.3">
      <c r="A19" s="9" t="s">
        <v>23</v>
      </c>
      <c r="B19" s="1" t="s">
        <v>24</v>
      </c>
      <c r="C19" s="10">
        <v>12</v>
      </c>
      <c r="D19" s="10">
        <f>SUM(Scorecard!F34:F37)</f>
        <v>0</v>
      </c>
      <c r="E19" s="10" t="str">
        <f t="shared" si="0"/>
        <v>0%</v>
      </c>
      <c r="F19" s="1" t="str">
        <f t="shared" si="1"/>
        <v>Mostly missed — see items below</v>
      </c>
    </row>
    <row r="20" spans="1:6" x14ac:dyDescent="0.3">
      <c r="A20" s="9" t="s">
        <v>25</v>
      </c>
      <c r="B20" s="1" t="s">
        <v>26</v>
      </c>
      <c r="C20" s="10">
        <v>8</v>
      </c>
      <c r="D20" s="10">
        <f>SUM(Scorecard!F39:F41)</f>
        <v>0</v>
      </c>
      <c r="E20" s="10" t="str">
        <f t="shared" si="0"/>
        <v>0%</v>
      </c>
      <c r="F20" s="1" t="str">
        <f t="shared" si="1"/>
        <v>Mostly missed — see items below</v>
      </c>
    </row>
    <row r="21" spans="1:6" x14ac:dyDescent="0.3">
      <c r="A21" s="9" t="s">
        <v>27</v>
      </c>
      <c r="B21" s="1" t="s">
        <v>28</v>
      </c>
      <c r="C21" s="10">
        <v>8</v>
      </c>
      <c r="D21" s="10">
        <f>SUM(Scorecard!F43:F45)</f>
        <v>0</v>
      </c>
      <c r="E21" s="10" t="str">
        <f t="shared" si="0"/>
        <v>0%</v>
      </c>
      <c r="F21" s="1" t="str">
        <f t="shared" si="1"/>
        <v>Mostly missed — see items below</v>
      </c>
    </row>
    <row r="22" spans="1:6" x14ac:dyDescent="0.3">
      <c r="A22" s="9" t="s">
        <v>29</v>
      </c>
      <c r="B22" s="1" t="s">
        <v>30</v>
      </c>
      <c r="C22" s="10">
        <v>8</v>
      </c>
      <c r="D22" s="10">
        <f>SUM(Scorecard!F47:F49)</f>
        <v>0</v>
      </c>
      <c r="E22" s="10" t="str">
        <f t="shared" si="0"/>
        <v>0%</v>
      </c>
      <c r="F22" s="1" t="str">
        <f t="shared" si="1"/>
        <v>Mostly missed — see items below</v>
      </c>
    </row>
    <row r="23" spans="1:6" x14ac:dyDescent="0.3">
      <c r="A23" s="9" t="s">
        <v>31</v>
      </c>
      <c r="B23" s="1" t="s">
        <v>32</v>
      </c>
      <c r="C23" s="10">
        <v>8</v>
      </c>
      <c r="D23" s="10">
        <f>SUM(Scorecard!F51:F53)</f>
        <v>0</v>
      </c>
      <c r="E23" s="10" t="str">
        <f t="shared" si="0"/>
        <v>0%</v>
      </c>
      <c r="F23" s="1" t="str">
        <f t="shared" si="1"/>
        <v>Mostly missed — see items below</v>
      </c>
    </row>
    <row r="25" spans="1:6" ht="19.5" customHeight="1" x14ac:dyDescent="0.3">
      <c r="A25" s="26" t="s">
        <v>33</v>
      </c>
      <c r="B25" s="14"/>
      <c r="C25" s="14"/>
      <c r="D25" s="14"/>
      <c r="E25" s="14"/>
      <c r="F25" s="14"/>
    </row>
    <row r="26" spans="1:6" ht="43.5" customHeight="1" x14ac:dyDescent="0.3">
      <c r="A26" s="9">
        <v>1</v>
      </c>
      <c r="B26" s="18" t="str">
        <f>IF(LARGE(Scorecard!$H$11:$H$53,1)&lt;0.5,"—",INDEX(Scorecard!$A$11:$A$53,MATCH(LARGE(Scorecard!$H$11:$H$53,1),Scorecard!$H$11:$H$53,0))&amp;" — "&amp;INDEX(Scorecard!$B$11:$B$53,MATCH(LARGE(Scorecard!$H$11:$H$53,1),Scorecard!$H$11:$H$53,0)))</f>
        <v>D2 — INCOME GRILLED per business: daily / monthly sales, profit margin %, lean season — customer's figures first. Ask for PROOF (bills, parchi, register, bank / AA credits). Within 20% of the CAM assessed income? Bigger gap = RF-4 (CAM back to BCM).</v>
      </c>
      <c r="C26" s="14"/>
      <c r="D26" s="14"/>
      <c r="E26" s="15"/>
      <c r="F26" s="2" t="str">
        <f>IF(LARGE(Scorecard!$H$11:$H$53,1)&lt;0.5,"","Points lost: "&amp;ROUND(LARGE(Scorecard!$H$11:$H$53,1),1))</f>
        <v>Points lost: 6</v>
      </c>
    </row>
    <row r="27" spans="1:6" ht="43.5" customHeight="1" x14ac:dyDescent="0.3">
      <c r="A27" s="9">
        <v>2</v>
      </c>
      <c r="B27" s="18" t="str">
        <f>IF(LARGE(Scorecard!$H$11:$H$53,2)&lt;0.5,"—",INDEX(Scorecard!$A$11:$A$53,MATCH(LARGE(Scorecard!$H$11:$H$53,2),Scorecard!$H$11:$H$53,0))&amp;" — "&amp;INDEX(Scorecard!$B$11:$B$53,MATCH(LARGE(Scorecard!$H$11:$H$53,2),Scorecard!$H$11:$H$53,0)))</f>
        <v>E1 — ACTIVE LOANS ONLY — company, EMI, since when — listed by the customer and reconciled by you against EVERY ACTIVE loan in the bureau and the CAM obligation table. Closed loans need NOT be checked. Any active loan not in the CAM = RF-5 (re-run FOIR).</v>
      </c>
      <c r="C27" s="14"/>
      <c r="D27" s="14"/>
      <c r="E27" s="15"/>
      <c r="F27" s="2" t="str">
        <f>IF(LARGE(Scorecard!$H$11:$H$53,2)&lt;0.5,"","Points lost: "&amp;ROUND(LARGE(Scorecard!$H$11:$H$53,2),1))</f>
        <v>Points lost: 5</v>
      </c>
    </row>
    <row r="28" spans="1:6" ht="43.5" customHeight="1" x14ac:dyDescent="0.3">
      <c r="A28" s="9">
        <v>3</v>
      </c>
      <c r="B28" s="18" t="str">
        <f>IF(LARGE(Scorecard!$H$11:$H$53,3)&lt;0.5,"—",INDEX(Scorecard!$A$11:$A$53,MATCH(LARGE(Scorecard!$H$11:$H$53,3),Scorecard!$H$11:$H$53,0))&amp;" — "&amp;INDEX(Scorecard!$B$11:$B$53,MATCH(LARGE(Scorecard!$H$11:$H$53,3),Scorecard!$H$11:$H$53,0)))</f>
        <v>B2 — BCM VISIT VERIFIED: "Prodigee se kaun aaye the?" — who came, did he see the business (EVERY income activity) AND the home? Visit not done or incomplete = file returned for physical PD again (RF-12).</v>
      </c>
      <c r="C28" s="14"/>
      <c r="D28" s="14"/>
      <c r="E28" s="15"/>
      <c r="F28" s="2" t="str">
        <f>IF(LARGE(Scorecard!$H$11:$H$53,3)&lt;0.5,"","Points lost: "&amp;ROUND(LARGE(Scorecard!$H$11:$H$53,3),1))</f>
        <v>Points lost: 4</v>
      </c>
    </row>
    <row r="30" spans="1:6" x14ac:dyDescent="0.3">
      <c r="A30" s="4" t="s">
        <v>34</v>
      </c>
      <c r="B30" s="4" t="s">
        <v>35</v>
      </c>
      <c r="C30" s="4" t="s">
        <v>11</v>
      </c>
      <c r="D30" s="4" t="s">
        <v>12</v>
      </c>
      <c r="E30" s="4" t="s">
        <v>36</v>
      </c>
      <c r="F30" s="4" t="s">
        <v>37</v>
      </c>
    </row>
    <row r="31" spans="1:6" ht="15" customHeight="1" x14ac:dyDescent="0.3">
      <c r="A31" s="13" t="s">
        <v>38</v>
      </c>
      <c r="B31" s="14"/>
      <c r="C31" s="14"/>
      <c r="D31" s="14"/>
      <c r="E31" s="14"/>
      <c r="F31" s="15"/>
    </row>
    <row r="32" spans="1:6" ht="38.1" customHeight="1" x14ac:dyDescent="0.3">
      <c r="A32" s="11" t="s">
        <v>39</v>
      </c>
      <c r="B32" s="1" t="str">
        <f>Scorecard!B11</f>
        <v>Say at the start: "Yeh call record ho rahi hai, loan verification ke liye." State Application ID, customer name and village/town.</v>
      </c>
      <c r="C32" s="10">
        <f>Scorecard!C11</f>
        <v>2</v>
      </c>
      <c r="D32" s="10">
        <f>Scorecard!F11</f>
        <v>0</v>
      </c>
      <c r="E32" s="9" t="str">
        <f>IF(Scorecard!E11="Yes","✔ Asked",IF(Scorecard!E11="Half","½ Half",IF(Scorecard!E11="No","✘ MISSED","?")))</f>
        <v>?</v>
      </c>
      <c r="F32" s="1" t="str">
        <f>IF(Scorecard!G11="","",Scorecard!G11)</f>
        <v/>
      </c>
    </row>
    <row r="33" spans="1:6" ht="38.1" customHeight="1" x14ac:dyDescent="0.3">
      <c r="A33" s="11" t="s">
        <v>40</v>
      </c>
      <c r="B33" s="1" t="str">
        <f>Scorecard!B12</f>
        <v>Confirm you are talking to the MAIN BORROWER himself / herself — full name, on the applicant's own mobile number. Not a relative, agent or anyone else.</v>
      </c>
      <c r="C33" s="10">
        <f>Scorecard!C12</f>
        <v>2</v>
      </c>
      <c r="D33" s="10">
        <f>Scorecard!F12</f>
        <v>0</v>
      </c>
      <c r="E33" s="9" t="str">
        <f>IF(Scorecard!E12="Yes","✔ Asked",IF(Scorecard!E12="Half","½ Half",IF(Scorecard!E12="No","✘ MISSED","?")))</f>
        <v>?</v>
      </c>
      <c r="F33" s="1" t="str">
        <f>IF(Scorecard!G12="","",Scorecard!G12)</f>
        <v/>
      </c>
    </row>
    <row r="34" spans="1:6" ht="54.9" customHeight="1" x14ac:dyDescent="0.3">
      <c r="A34" s="9" t="s">
        <v>41</v>
      </c>
      <c r="B34" s="1" t="str">
        <f>Scorecard!B13</f>
        <v>Ask the customer WHERE he has logged the loan file (which company / branch). Even if he does not remember, do NOT cut points — what matters is that the RCM ASKS this on the call.</v>
      </c>
      <c r="C34" s="10">
        <f>Scorecard!C13</f>
        <v>2</v>
      </c>
      <c r="D34" s="10">
        <f>Scorecard!F13</f>
        <v>0</v>
      </c>
      <c r="E34" s="9" t="str">
        <f>IF(Scorecard!E13="Yes","✔ Asked",IF(Scorecard!E13="Half","½ Half",IF(Scorecard!E13="No","✘ MISSED","?")))</f>
        <v>?</v>
      </c>
      <c r="F34" s="1" t="str">
        <f>IF(Scorecard!G13="","",Scorecard!G13)</f>
        <v/>
      </c>
    </row>
    <row r="35" spans="1:6" ht="38.1" customHeight="1" x14ac:dyDescent="0.3">
      <c r="A35" s="9" t="s">
        <v>42</v>
      </c>
      <c r="B35" s="1" t="str">
        <f>Scorecard!B14</f>
        <v>Ask the borrower: does the FEMALE CO-BORROWER (wife, or mother if unmarried) know about this loan, and will she be part of this loan? Her name.</v>
      </c>
      <c r="C35" s="10">
        <f>Scorecard!C14</f>
        <v>2</v>
      </c>
      <c r="D35" s="10">
        <f>Scorecard!F14</f>
        <v>0</v>
      </c>
      <c r="E35" s="9" t="str">
        <f>IF(Scorecard!E14="Yes","✔ Asked",IF(Scorecard!E14="Half","½ Half",IF(Scorecard!E14="No","✘ MISSED","?")))</f>
        <v>?</v>
      </c>
      <c r="F35" s="1" t="str">
        <f>IF(Scorecard!G14="","",Scorecard!G14)</f>
        <v/>
      </c>
    </row>
    <row r="36" spans="1:6" ht="15" customHeight="1" x14ac:dyDescent="0.3">
      <c r="A36" s="13" t="s">
        <v>43</v>
      </c>
      <c r="B36" s="14"/>
      <c r="C36" s="14"/>
      <c r="D36" s="14"/>
      <c r="E36" s="14"/>
      <c r="F36" s="15"/>
    </row>
    <row r="37" spans="1:6" ht="38.1" customHeight="1" x14ac:dyDescent="0.3">
      <c r="A37" s="11" t="s">
        <v>44</v>
      </c>
      <c r="B37" s="1" t="str">
        <f>Scorecard!B16</f>
        <v>LOAN AMOUNT: the customer states it himself (do NOT lead with the figure). Must be within 10% of the CAM amount — a bigger gap is a red flag (RF-2).</v>
      </c>
      <c r="C37" s="10">
        <f>Scorecard!C16</f>
        <v>3</v>
      </c>
      <c r="D37" s="10">
        <f>Scorecard!F16</f>
        <v>0</v>
      </c>
      <c r="E37" s="9" t="str">
        <f>IF(Scorecard!E16="Yes","✔ Asked",IF(Scorecard!E16="Half","½ Half",IF(Scorecard!E16="No","✘ MISSED","?")))</f>
        <v>?</v>
      </c>
      <c r="F37" s="1" t="str">
        <f>IF(Scorecard!G16="","",Scorecard!G16)</f>
        <v/>
      </c>
    </row>
    <row r="38" spans="1:6" ht="54.9" customHeight="1" x14ac:dyDescent="0.3">
      <c r="A38" s="11" t="s">
        <v>45</v>
      </c>
      <c r="B38" s="1" t="str">
        <f>Scorecard!B17</f>
        <v>BCM VISIT VERIFIED: "Prodigee se kaun aaye the?" — who came, did he see the business (EVERY income activity) AND the home? Visit not done or incomplete = file returned for physical PD again (RF-12).</v>
      </c>
      <c r="C38" s="10">
        <f>Scorecard!C17</f>
        <v>4</v>
      </c>
      <c r="D38" s="10">
        <f>Scorecard!F17</f>
        <v>0</v>
      </c>
      <c r="E38" s="9" t="str">
        <f>IF(Scorecard!E17="Yes","✔ Asked",IF(Scorecard!E17="Half","½ Half",IF(Scorecard!E17="No","✘ MISSED","?")))</f>
        <v>?</v>
      </c>
      <c r="F38" s="1" t="str">
        <f>IF(Scorecard!G17="","",Scorecard!G17)</f>
        <v/>
      </c>
    </row>
    <row r="39" spans="1:6" ht="54.9" customHeight="1" x14ac:dyDescent="0.3">
      <c r="A39" s="9" t="s">
        <v>46</v>
      </c>
      <c r="B39" s="1" t="str">
        <f>Scorecard!B18</f>
        <v>Ask: did anyone — Prodigee staff, agent or anyone else — ask for commission, fees or money for this loan? Tell him: ZERO COMMISSION — only official charges, in writing.</v>
      </c>
      <c r="C39" s="10">
        <f>Scorecard!C18</f>
        <v>2</v>
      </c>
      <c r="D39" s="10">
        <f>Scorecard!F18</f>
        <v>0</v>
      </c>
      <c r="E39" s="9" t="str">
        <f>IF(Scorecard!E18="Yes","✔ Asked",IF(Scorecard!E18="Half","½ Half",IF(Scorecard!E18="No","✘ MISSED","?")))</f>
        <v>?</v>
      </c>
      <c r="F39" s="1" t="str">
        <f>IF(Scorecard!G18="","",Scorecard!G18)</f>
        <v/>
      </c>
    </row>
    <row r="40" spans="1:6" ht="38.1" customHeight="1" x14ac:dyDescent="0.3">
      <c r="A40" s="11" t="s">
        <v>47</v>
      </c>
      <c r="B40" s="1" t="str">
        <f>Scorecard!B19</f>
        <v>Customer clearly understands: BUSINESS Loan Against Property — property will be MORTGAGED and the ORIGINAL papers deposited with Prodigee.</v>
      </c>
      <c r="C40" s="10">
        <f>Scorecard!C19</f>
        <v>3</v>
      </c>
      <c r="D40" s="10">
        <f>Scorecard!F19</f>
        <v>0</v>
      </c>
      <c r="E40" s="9" t="str">
        <f>IF(Scorecard!E19="Yes","✔ Asked",IF(Scorecard!E19="Half","½ Half",IF(Scorecard!E19="No","✘ MISSED","?")))</f>
        <v>?</v>
      </c>
      <c r="F40" s="1" t="str">
        <f>IF(Scorecard!G19="","",Scorecard!G19)</f>
        <v/>
      </c>
    </row>
    <row r="41" spans="1:6" ht="38.1" customHeight="1" x14ac:dyDescent="0.3">
      <c r="A41" s="9" t="s">
        <v>48</v>
      </c>
      <c r="B41" s="1" t="str">
        <f>Scorecard!B20</f>
        <v>PENDING DOCUMENTS: name each document still pending on PRAGATI and ask him to submit it. If nothing is pending, say so.</v>
      </c>
      <c r="C41" s="10">
        <f>Scorecard!C20</f>
        <v>2</v>
      </c>
      <c r="D41" s="10">
        <f>Scorecard!F20</f>
        <v>0</v>
      </c>
      <c r="E41" s="9" t="str">
        <f>IF(Scorecard!E20="Yes","✔ Asked",IF(Scorecard!E20="Half","½ Half",IF(Scorecard!E20="No","✘ MISSED","?")))</f>
        <v>?</v>
      </c>
      <c r="F41" s="1" t="str">
        <f>IF(Scorecard!G20="","",Scorecard!G20)</f>
        <v/>
      </c>
    </row>
    <row r="42" spans="1:6" ht="54.9" customHeight="1" x14ac:dyDescent="0.3">
      <c r="A42" s="9" t="s">
        <v>49</v>
      </c>
      <c r="B42" s="1" t="str">
        <f>Scorecard!B21</f>
        <v>FRESH or BT? Is this a FRESH loan requirement or a Balance Transfer (BT) from another lender? If BT: has the customer applied to the existing lender for the LOD (List of Documents) and the FCL (Foreclosure Letter)?</v>
      </c>
      <c r="C42" s="10">
        <f>Scorecard!C21</f>
        <v>2</v>
      </c>
      <c r="D42" s="10">
        <f>Scorecard!F21</f>
        <v>0</v>
      </c>
      <c r="E42" s="9" t="str">
        <f>IF(Scorecard!E21="Yes","✔ Asked",IF(Scorecard!E21="Half","½ Half",IF(Scorecard!E21="No","✘ MISSED","?")))</f>
        <v>?</v>
      </c>
      <c r="F42" s="1" t="str">
        <f>IF(Scorecard!G21="","",Scorecard!G21)</f>
        <v/>
      </c>
    </row>
    <row r="43" spans="1:6" ht="15" customHeight="1" x14ac:dyDescent="0.3">
      <c r="A43" s="13" t="s">
        <v>50</v>
      </c>
      <c r="B43" s="14"/>
      <c r="C43" s="14"/>
      <c r="D43" s="14"/>
      <c r="E43" s="14"/>
      <c r="F43" s="15"/>
    </row>
    <row r="44" spans="1:6" ht="54.9" customHeight="1" x14ac:dyDescent="0.3">
      <c r="A44" s="11" t="s">
        <v>51</v>
      </c>
      <c r="B44" s="1" t="str">
        <f>Scorecard!B23</f>
        <v>END USE in the customer's own words — open question, do not read out the declared purpose. Probe: kitna, kahan, kab. Must match the End-Use Declaration / CAM (mismatch = RF-3).</v>
      </c>
      <c r="C44" s="10">
        <f>Scorecard!C23</f>
        <v>4</v>
      </c>
      <c r="D44" s="10">
        <f>Scorecard!F23</f>
        <v>0</v>
      </c>
      <c r="E44" s="9" t="str">
        <f>IF(Scorecard!E23="Yes","✔ Asked",IF(Scorecard!E23="Half","½ Half",IF(Scorecard!E23="No","✘ MISSED","?")))</f>
        <v>?</v>
      </c>
      <c r="F44" s="1" t="str">
        <f>IF(Scorecard!G23="","",Scorecard!G23)</f>
        <v/>
      </c>
    </row>
    <row r="45" spans="1:6" ht="38.1" customHeight="1" x14ac:dyDescent="0.3">
      <c r="A45" s="11" t="s">
        <v>52</v>
      </c>
      <c r="B45" s="1" t="str">
        <f>Scorecard!B24</f>
        <v>RESTRICTED USE ruled out: not speculation, not a new / unrelated business, not purchase of milch animals, nothing illegal.</v>
      </c>
      <c r="C45" s="10">
        <f>Scorecard!C24</f>
        <v>3</v>
      </c>
      <c r="D45" s="10">
        <f>Scorecard!F24</f>
        <v>0</v>
      </c>
      <c r="E45" s="9" t="str">
        <f>IF(Scorecard!E24="Yes","✔ Asked",IF(Scorecard!E24="Half","½ Half",IF(Scorecard!E24="No","✘ MISSED","?")))</f>
        <v>?</v>
      </c>
      <c r="F45" s="1" t="str">
        <f>IF(Scorecard!G24="","",Scorecard!G24)</f>
        <v/>
      </c>
    </row>
    <row r="46" spans="1:6" ht="38.1" customHeight="1" x14ac:dyDescent="0.3">
      <c r="A46" s="9" t="s">
        <v>53</v>
      </c>
      <c r="B46" s="1" t="str">
        <f>Scorecard!B25</f>
        <v>UTILISATION PLAN: how much goes where and by when — break-up for mixed use (e.g. stock + closing other loans).</v>
      </c>
      <c r="C46" s="10">
        <f>Scorecard!C25</f>
        <v>3</v>
      </c>
      <c r="D46" s="10">
        <f>Scorecard!F25</f>
        <v>0</v>
      </c>
      <c r="E46" s="9" t="str">
        <f>IF(Scorecard!E25="Yes","✔ Asked",IF(Scorecard!E25="Half","½ Half",IF(Scorecard!E25="No","✘ MISSED","?")))</f>
        <v>?</v>
      </c>
      <c r="F46" s="1" t="str">
        <f>IF(Scorecard!G25="","",Scorecard!G25)</f>
        <v/>
      </c>
    </row>
    <row r="47" spans="1:6" ht="15" customHeight="1" x14ac:dyDescent="0.3">
      <c r="A47" s="13" t="s">
        <v>54</v>
      </c>
      <c r="B47" s="14"/>
      <c r="C47" s="14"/>
      <c r="D47" s="14"/>
      <c r="E47" s="14"/>
      <c r="F47" s="15"/>
    </row>
    <row r="48" spans="1:6" ht="54.9" customHeight="1" x14ac:dyDescent="0.3">
      <c r="A48" s="9" t="s">
        <v>55</v>
      </c>
      <c r="B48" s="1" t="str">
        <f>Scorecard!B27</f>
        <v>EVERY BUSINESS / income stream the CAM counts: what, where, since when, who runs it; scale — staff, customers per day, stock, capacity. Consistent with the PD Report?</v>
      </c>
      <c r="C48" s="10">
        <f>Scorecard!C27</f>
        <v>3</v>
      </c>
      <c r="D48" s="10">
        <f>Scorecard!F27</f>
        <v>0</v>
      </c>
      <c r="E48" s="9" t="str">
        <f>IF(Scorecard!E27="Yes","✔ Asked",IF(Scorecard!E27="Half","½ Half",IF(Scorecard!E27="No","✘ MISSED","?")))</f>
        <v>?</v>
      </c>
      <c r="F48" s="1" t="str">
        <f>IF(Scorecard!G27="","",Scorecard!G27)</f>
        <v/>
      </c>
    </row>
    <row r="49" spans="1:6" ht="71.7" customHeight="1" x14ac:dyDescent="0.3">
      <c r="A49" s="11" t="s">
        <v>56</v>
      </c>
      <c r="B49" s="1" t="str">
        <f>Scorecard!B28</f>
        <v>INCOME GRILLED per business: daily / monthly sales, profit margin %, lean season — customer's figures first. Ask for PROOF (bills, parchi, register, bank / AA credits). Within 20% of the CAM assessed income? Bigger gap = RF-4 (CAM back to BCM).</v>
      </c>
      <c r="C49" s="10">
        <f>Scorecard!C28</f>
        <v>6</v>
      </c>
      <c r="D49" s="10">
        <f>Scorecard!F28</f>
        <v>0</v>
      </c>
      <c r="E49" s="9" t="str">
        <f>IF(Scorecard!E28="Yes","✔ Asked",IF(Scorecard!E28="Half","½ Half",IF(Scorecard!E28="No","✘ MISSED","?")))</f>
        <v>?</v>
      </c>
      <c r="F49" s="1" t="str">
        <f>IF(Scorecard!G28="","",Scorecard!G28)</f>
        <v/>
      </c>
    </row>
    <row r="50" spans="1:6" ht="38.1" customHeight="1" x14ac:dyDescent="0.3">
      <c r="A50" s="9" t="s">
        <v>57</v>
      </c>
      <c r="B50" s="1" t="str">
        <f>Scorecard!B29</f>
        <v>REFERENCES: 2–3 names and mobile numbers of people he deals with — supplier, buyer, thekedar, society — to corroborate the main income.</v>
      </c>
      <c r="C50" s="10">
        <f>Scorecard!C29</f>
        <v>2</v>
      </c>
      <c r="D50" s="10">
        <f>Scorecard!F29</f>
        <v>0</v>
      </c>
      <c r="E50" s="9" t="str">
        <f>IF(Scorecard!E29="Yes","✔ Asked",IF(Scorecard!E29="Half","½ Half",IF(Scorecard!E29="No","✘ MISSED","?")))</f>
        <v>?</v>
      </c>
      <c r="F50" s="1" t="str">
        <f>IF(Scorecard!G29="","",Scorecard!G29)</f>
        <v/>
      </c>
    </row>
    <row r="51" spans="1:6" ht="71.7" customHeight="1" x14ac:dyDescent="0.3">
      <c r="A51" s="9" t="s">
        <v>58</v>
      </c>
      <c r="B51" s="1" t="str">
        <f>Scorecard!B30</f>
        <v>AGRICULTURE in full: land in whose name, acres, crops each season, yearly income, KCC. THEN the missed-income question: dairy / milk? wife, father, brother, son — any business or job? rent? "Koi aur aamdani jo report mein nahi likhi?" No farm land — say so.</v>
      </c>
      <c r="C51" s="10">
        <f>Scorecard!C30</f>
        <v>4</v>
      </c>
      <c r="D51" s="10">
        <f>Scorecard!F30</f>
        <v>0</v>
      </c>
      <c r="E51" s="9" t="str">
        <f>IF(Scorecard!E30="Yes","✔ Asked",IF(Scorecard!E30="Half","½ Half",IF(Scorecard!E30="No","✘ MISSED","?")))</f>
        <v>?</v>
      </c>
      <c r="F51" s="1" t="str">
        <f>IF(Scorecard!G30="","",Scorecard!G30)</f>
        <v/>
      </c>
    </row>
    <row r="52" spans="1:6" ht="71.7" customHeight="1" x14ac:dyDescent="0.3">
      <c r="A52" s="9" t="s">
        <v>59</v>
      </c>
      <c r="B52" s="1" t="str">
        <f>Scorecard!B31</f>
        <v>AA CHECKS on the call: any EMI bounce? any big credit / debit that is not routine? UPI per month vs cash? Are ALL bank accounts in the AA — any account left out? If the main transacting account is missing, pull it on the call with the customer's OTP.</v>
      </c>
      <c r="C52" s="10">
        <f>Scorecard!C31</f>
        <v>4</v>
      </c>
      <c r="D52" s="10">
        <f>Scorecard!F31</f>
        <v>0</v>
      </c>
      <c r="E52" s="9" t="str">
        <f>IF(Scorecard!E31="Yes","✔ Asked",IF(Scorecard!E31="Half","½ Half",IF(Scorecard!E31="No","✘ MISSED","?")))</f>
        <v>?</v>
      </c>
      <c r="F52" s="1" t="str">
        <f>IF(Scorecard!G31="","",Scorecard!G31)</f>
        <v/>
      </c>
    </row>
    <row r="53" spans="1:6" ht="71.7" customHeight="1" x14ac:dyDescent="0.3">
      <c r="A53" s="9" t="s">
        <v>60</v>
      </c>
      <c r="B53" s="1" t="str">
        <f>Scorecard!B32</f>
        <v>INCOME-GENERATING LOANS: go through ALL ACTIVE loans and pick out any Tractor loan, Commercial Vehicle loan, Construction Equipment loan or any other loan on an asset that earns money. Ask about each one — what work it does, how many days a month, earning per month — and work out the income from it.</v>
      </c>
      <c r="C53" s="10">
        <f>Scorecard!C32</f>
        <v>3</v>
      </c>
      <c r="D53" s="10">
        <f>Scorecard!F32</f>
        <v>0</v>
      </c>
      <c r="E53" s="9" t="str">
        <f>IF(Scorecard!E32="Yes","✔ Asked",IF(Scorecard!E32="Half","½ Half",IF(Scorecard!E32="No","✘ MISSED","?")))</f>
        <v>?</v>
      </c>
      <c r="F53" s="1" t="str">
        <f>IF(Scorecard!G32="","",Scorecard!G32)</f>
        <v/>
      </c>
    </row>
    <row r="54" spans="1:6" ht="15" customHeight="1" x14ac:dyDescent="0.3">
      <c r="A54" s="13" t="s">
        <v>61</v>
      </c>
      <c r="B54" s="14"/>
      <c r="C54" s="14"/>
      <c r="D54" s="14"/>
      <c r="E54" s="14"/>
      <c r="F54" s="15"/>
    </row>
    <row r="55" spans="1:6" ht="71.7" customHeight="1" x14ac:dyDescent="0.3">
      <c r="A55" s="11" t="s">
        <v>62</v>
      </c>
      <c r="B55" s="1" t="str">
        <f>Scorecard!B34</f>
        <v>ACTIVE LOANS ONLY — company, EMI, since when — listed by the customer and reconciled by you against EVERY ACTIVE loan in the bureau and the CAM obligation table. Closed loans need NOT be checked. Any active loan not in the CAM = RF-5 (re-run FOIR).</v>
      </c>
      <c r="C55" s="10">
        <f>Scorecard!C34</f>
        <v>5</v>
      </c>
      <c r="D55" s="10">
        <f>Scorecard!F34</f>
        <v>0</v>
      </c>
      <c r="E55" s="9" t="str">
        <f>IF(Scorecard!E34="Yes","✔ Asked",IF(Scorecard!E34="Half","½ Half",IF(Scorecard!E34="No","✘ MISSED","?")))</f>
        <v>?</v>
      </c>
      <c r="F55" s="1" t="str">
        <f>IF(Scorecard!G34="","",Scorecard!G34)</f>
        <v/>
      </c>
    </row>
    <row r="56" spans="1:6" ht="54.9" customHeight="1" x14ac:dyDescent="0.3">
      <c r="A56" s="9" t="s">
        <v>63</v>
      </c>
      <c r="B56" s="1" t="str">
        <f>Scorecard!B35</f>
        <v>ASK EACH ONE BY NAME, household-wide — only loans RUNNING TODAY: samooh / group / MFI loan (including in the wife's name)? KCC? society / PACS? gold pledged? hand loan / bazaar udhaar?</v>
      </c>
      <c r="C56" s="10">
        <f>Scorecard!C35</f>
        <v>3</v>
      </c>
      <c r="D56" s="10">
        <f>Scorecard!F35</f>
        <v>0</v>
      </c>
      <c r="E56" s="9" t="str">
        <f>IF(Scorecard!E35="Yes","✔ Asked",IF(Scorecard!E35="Half","½ Half",IF(Scorecard!E35="No","✘ MISSED","?")))</f>
        <v>?</v>
      </c>
      <c r="F56" s="1" t="str">
        <f>IF(Scorecard!G35="","",Scorecard!G35)</f>
        <v/>
      </c>
    </row>
    <row r="57" spans="1:6" ht="38.1" customHeight="1" x14ac:dyDescent="0.3">
      <c r="A57" s="9" t="s">
        <v>64</v>
      </c>
      <c r="B57" s="1" t="str">
        <f>Scorecard!B36</f>
        <v>ENQUIRIES in the last 3 months: applied anywhere else? What happened — approved / rejected (why) / withdrawn / pending? Check against the bureau enquiry list.</v>
      </c>
      <c r="C57" s="10">
        <f>Scorecard!C36</f>
        <v>2</v>
      </c>
      <c r="D57" s="10">
        <f>Scorecard!F36</f>
        <v>0</v>
      </c>
      <c r="E57" s="9" t="str">
        <f>IF(Scorecard!E36="Yes","✔ Asked",IF(Scorecard!E36="Half","½ Half",IF(Scorecard!E36="No","✘ MISSED","?")))</f>
        <v>?</v>
      </c>
      <c r="F57" s="1" t="str">
        <f>IF(Scorecard!G36="","",Scorecard!G36)</f>
        <v/>
      </c>
    </row>
    <row r="58" spans="1:6" ht="38.1" customHeight="1" x14ac:dyDescent="0.3">
      <c r="A58" s="9" t="s">
        <v>65</v>
      </c>
      <c r="B58" s="1" t="str">
        <f>Scorecard!B37</f>
        <v>BOUNCES / OVERDUE: any EMI late or bounced? Any overdue today? Answer must match the bureau and AA; an admitted overdue is cleared before sanction.</v>
      </c>
      <c r="C58" s="10">
        <f>Scorecard!C37</f>
        <v>2</v>
      </c>
      <c r="D58" s="10">
        <f>Scorecard!F37</f>
        <v>0</v>
      </c>
      <c r="E58" s="9" t="str">
        <f>IF(Scorecard!E37="Yes","✔ Asked",IF(Scorecard!E37="Half","½ Half",IF(Scorecard!E37="No","✘ MISSED","?")))</f>
        <v>?</v>
      </c>
      <c r="F58" s="1" t="str">
        <f>IF(Scorecard!G37="","",Scorecard!G37)</f>
        <v/>
      </c>
    </row>
    <row r="59" spans="1:6" ht="15" customHeight="1" x14ac:dyDescent="0.3">
      <c r="A59" s="13" t="s">
        <v>66</v>
      </c>
      <c r="B59" s="14"/>
      <c r="C59" s="14"/>
      <c r="D59" s="14"/>
      <c r="E59" s="14"/>
      <c r="F59" s="15"/>
    </row>
    <row r="60" spans="1:6" ht="38.1" customHeight="1" x14ac:dyDescent="0.3">
      <c r="A60" s="9" t="s">
        <v>67</v>
      </c>
      <c r="B60" s="1" t="str">
        <f>Scorecard!B39</f>
        <v>FAMILY: how many members, how many dependent, monthly household expense — within one of the CAM family table.</v>
      </c>
      <c r="C60" s="10">
        <f>Scorecard!C39</f>
        <v>2</v>
      </c>
      <c r="D60" s="10">
        <f>Scorecard!F39</f>
        <v>0</v>
      </c>
      <c r="E60" s="9" t="str">
        <f>IF(Scorecard!E39="Yes","✔ Asked",IF(Scorecard!E39="Half","½ Half",IF(Scorecard!E39="No","✘ MISSED","?")))</f>
        <v>?</v>
      </c>
      <c r="F60" s="1" t="str">
        <f>IF(Scorecard!G39="","",Scorecard!G39)</f>
        <v/>
      </c>
    </row>
    <row r="61" spans="1:6" ht="54.9" customHeight="1" x14ac:dyDescent="0.3">
      <c r="A61" s="11" t="s">
        <v>68</v>
      </c>
      <c r="B61" s="1" t="str">
        <f>Scorecard!B40</f>
        <v>FEMALE CO-BORROWER: speaking to her on this call is NOT required. The borrower must clearly know that a FEMALE CO-BORROWER — wife (or mother if unmarried) — is MANDATORY and that she is part of this loan.</v>
      </c>
      <c r="C61" s="10">
        <f>Scorecard!C40</f>
        <v>3</v>
      </c>
      <c r="D61" s="10">
        <f>Scorecard!F40</f>
        <v>0</v>
      </c>
      <c r="E61" s="9" t="str">
        <f>IF(Scorecard!E40="Yes","✔ Asked",IF(Scorecard!E40="Half","½ Half",IF(Scorecard!E40="No","✘ MISSED","?")))</f>
        <v>?</v>
      </c>
      <c r="F61" s="1" t="str">
        <f>IF(Scorecard!G40="","",Scorecard!G40)</f>
        <v/>
      </c>
    </row>
    <row r="62" spans="1:6" ht="38.1" customHeight="1" x14ac:dyDescent="0.3">
      <c r="A62" s="9" t="s">
        <v>69</v>
      </c>
      <c r="B62" s="1" t="str">
        <f>Scorecard!B41</f>
        <v>PROPERTY OWNER &amp; HEIRS: in whose name; if ancestral — do brothers / sisters / heirs have a share; are all of them in the loan or giving NOC?</v>
      </c>
      <c r="C62" s="10">
        <f>Scorecard!C41</f>
        <v>3</v>
      </c>
      <c r="D62" s="10">
        <f>Scorecard!F41</f>
        <v>0</v>
      </c>
      <c r="E62" s="9" t="str">
        <f>IF(Scorecard!E41="Yes","✔ Asked",IF(Scorecard!E41="Half","½ Half",IF(Scorecard!E41="No","✘ MISSED","?")))</f>
        <v>?</v>
      </c>
      <c r="F62" s="1" t="str">
        <f>IF(Scorecard!G41="","",Scorecard!G41)</f>
        <v/>
      </c>
    </row>
    <row r="63" spans="1:6" ht="15" customHeight="1" x14ac:dyDescent="0.3">
      <c r="A63" s="13" t="s">
        <v>70</v>
      </c>
      <c r="B63" s="14"/>
      <c r="C63" s="14"/>
      <c r="D63" s="14"/>
      <c r="E63" s="14"/>
      <c r="F63" s="15"/>
    </row>
    <row r="64" spans="1:6" ht="54.9" customHeight="1" x14ac:dyDescent="0.3">
      <c r="A64" s="9" t="s">
        <v>71</v>
      </c>
      <c r="B64" s="1" t="str">
        <f>Scorecard!B43</f>
        <v>WHICH PROPERTY: house / shop / plot, where; the ACTUAL owner as per papers; which ORIGINAL papers — registry, rin pustika, patta, naksha. Same property as the CAM / technical report?</v>
      </c>
      <c r="C64" s="10">
        <f>Scorecard!C43</f>
        <v>3</v>
      </c>
      <c r="D64" s="10">
        <f>Scorecard!F43</f>
        <v>0</v>
      </c>
      <c r="E64" s="9" t="str">
        <f>IF(Scorecard!E43="Yes","✔ Asked",IF(Scorecard!E43="Half","½ Half",IF(Scorecard!E43="No","✘ MISSED","?")))</f>
        <v>?</v>
      </c>
      <c r="F64" s="1" t="str">
        <f>IF(Scorecard!G43="","",Scorecard!G43)</f>
        <v/>
      </c>
    </row>
    <row r="65" spans="1:6" ht="33.6" customHeight="1" x14ac:dyDescent="0.3">
      <c r="A65" s="9" t="s">
        <v>72</v>
      </c>
      <c r="B65" s="1" t="str">
        <f>Scorecard!B44</f>
        <v>CUSTOMER'S OWN VALUE of the property: "aaj bechni ho to kitne ki hai?"</v>
      </c>
      <c r="C65" s="10">
        <f>Scorecard!C44</f>
        <v>2</v>
      </c>
      <c r="D65" s="10">
        <f>Scorecard!F44</f>
        <v>0</v>
      </c>
      <c r="E65" s="9" t="str">
        <f>IF(Scorecard!E44="Yes","✔ Asked",IF(Scorecard!E44="Half","½ Half",IF(Scorecard!E44="No","✘ MISSED","?")))</f>
        <v>?</v>
      </c>
      <c r="F65" s="1" t="str">
        <f>IF(Scorecard!G44="","",Scorecard!G44)</f>
        <v/>
      </c>
    </row>
    <row r="66" spans="1:6" ht="38.1" customHeight="1" x14ac:dyDescent="0.3">
      <c r="A66" s="11" t="s">
        <v>73</v>
      </c>
      <c r="B66" s="1" t="str">
        <f>Scorecard!B45</f>
        <v>ALREADY MORTGAGED? Is this property mortgaged with any other Bank / FI? If YES — which Bank / FI.</v>
      </c>
      <c r="C66" s="10">
        <f>Scorecard!C45</f>
        <v>3</v>
      </c>
      <c r="D66" s="10">
        <f>Scorecard!F45</f>
        <v>0</v>
      </c>
      <c r="E66" s="9" t="str">
        <f>IF(Scorecard!E45="Yes","✔ Asked",IF(Scorecard!E45="Half","½ Half",IF(Scorecard!E45="No","✘ MISSED","?")))</f>
        <v>?</v>
      </c>
      <c r="F66" s="1" t="str">
        <f>IF(Scorecard!G45="","",Scorecard!G45)</f>
        <v/>
      </c>
    </row>
    <row r="67" spans="1:6" ht="15" customHeight="1" x14ac:dyDescent="0.3">
      <c r="A67" s="13" t="s">
        <v>74</v>
      </c>
      <c r="B67" s="14"/>
      <c r="C67" s="14"/>
      <c r="D67" s="14"/>
      <c r="E67" s="14"/>
      <c r="F67" s="15"/>
    </row>
    <row r="68" spans="1:6" ht="38.1" customHeight="1" x14ac:dyDescent="0.3">
      <c r="A68" s="9" t="s">
        <v>75</v>
      </c>
      <c r="B68" s="1" t="str">
        <f>Scorecard!B47</f>
        <v>EMI CAPACITY: "kitni EMI aaram se de payenge, kis kamai se?" — a figure tied to a specific cashflow; makes sense against stated income and loans (fails = RF-9).</v>
      </c>
      <c r="C68" s="10">
        <f>Scorecard!C47</f>
        <v>3</v>
      </c>
      <c r="D68" s="10">
        <f>Scorecard!F47</f>
        <v>0</v>
      </c>
      <c r="E68" s="9" t="str">
        <f>IF(Scorecard!E47="Yes","✔ Asked",IF(Scorecard!E47="Half","½ Half",IF(Scorecard!E47="No","✘ MISSED","?")))</f>
        <v>?</v>
      </c>
      <c r="F68" s="1" t="str">
        <f>IF(Scorecard!G47="","",Scorecard!G47)</f>
        <v/>
      </c>
    </row>
    <row r="69" spans="1:6" ht="38.1" customHeight="1" x14ac:dyDescent="0.3">
      <c r="A69" s="9" t="s">
        <v>76</v>
      </c>
      <c r="B69" s="1" t="str">
        <f>Scorecard!B48</f>
        <v>SURPLUS ALOUD: income − household expense − existing EMIs = surplus; does the new EMI fit? Consistent with the CAM surplus.</v>
      </c>
      <c r="C69" s="10">
        <f>Scorecard!C48</f>
        <v>2</v>
      </c>
      <c r="D69" s="10">
        <f>Scorecard!F48</f>
        <v>0</v>
      </c>
      <c r="E69" s="9" t="str">
        <f>IF(Scorecard!E48="Yes","✔ Asked",IF(Scorecard!E48="Half","½ Half",IF(Scorecard!E48="No","✘ MISSED","?")))</f>
        <v>?</v>
      </c>
      <c r="F69" s="1" t="str">
        <f>IF(Scorecard!G48="","",Scorecard!G48)</f>
        <v/>
      </c>
    </row>
    <row r="70" spans="1:6" ht="54.9" customHeight="1" x14ac:dyDescent="0.3">
      <c r="A70" s="9" t="s">
        <v>77</v>
      </c>
      <c r="B70" s="1" t="str">
        <f>Scorecard!B49</f>
        <v>INTENT: attitude to EMI, any past wilful delay, "EMI late hui to?", commitment to NACH auto-debit. Reluctance on mortgage, NACH, insurance or any condition = RF-10.</v>
      </c>
      <c r="C70" s="10">
        <f>Scorecard!C49</f>
        <v>3</v>
      </c>
      <c r="D70" s="10">
        <f>Scorecard!F49</f>
        <v>0</v>
      </c>
      <c r="E70" s="9" t="str">
        <f>IF(Scorecard!E49="Yes","✔ Asked",IF(Scorecard!E49="Half","½ Half",IF(Scorecard!E49="No","✘ MISSED","?")))</f>
        <v>?</v>
      </c>
      <c r="F70" s="1" t="str">
        <f>IF(Scorecard!G49="","",Scorecard!G49)</f>
        <v/>
      </c>
    </row>
    <row r="71" spans="1:6" ht="15" customHeight="1" x14ac:dyDescent="0.3">
      <c r="A71" s="13" t="s">
        <v>78</v>
      </c>
      <c r="B71" s="14"/>
      <c r="C71" s="14"/>
      <c r="D71" s="14"/>
      <c r="E71" s="14"/>
      <c r="F71" s="15"/>
    </row>
    <row r="72" spans="1:6" ht="38.1" customHeight="1" x14ac:dyDescent="0.3">
      <c r="A72" s="9" t="s">
        <v>79</v>
      </c>
      <c r="B72" s="1" t="str">
        <f>Scorecard!B51</f>
        <v>Say: ZERO COMMISSION — nobody is to be paid; all charges official and in writing. Indicative EMI for the applied amount — clearly indicative, not a promise.</v>
      </c>
      <c r="C72" s="10">
        <f>Scorecard!C51</f>
        <v>3</v>
      </c>
      <c r="D72" s="10">
        <f>Scorecard!F51</f>
        <v>0</v>
      </c>
      <c r="E72" s="9" t="str">
        <f>IF(Scorecard!E51="Yes","✔ Asked",IF(Scorecard!E51="Half","½ Half",IF(Scorecard!E51="No","✘ MISSED","?")))</f>
        <v>?</v>
      </c>
      <c r="F72" s="1" t="str">
        <f>IF(Scorecard!G51="","",Scorecard!G51)</f>
        <v/>
      </c>
    </row>
    <row r="73" spans="1:6" ht="38.1" customHeight="1" x14ac:dyDescent="0.3">
      <c r="A73" s="9" t="s">
        <v>80</v>
      </c>
      <c r="B73" s="1" t="str">
        <f>Scorecard!B52</f>
        <v>Confirm once more: BUSINESS Loan Against Property, mortgage — the customer is not expecting an unsecured loan, a government scheme or any waiver (RF-8).</v>
      </c>
      <c r="C73" s="10">
        <f>Scorecard!C52</f>
        <v>2</v>
      </c>
      <c r="D73" s="10">
        <f>Scorecard!F52</f>
        <v>0</v>
      </c>
      <c r="E73" s="9" t="str">
        <f>IF(Scorecard!E52="Yes","✔ Asked",IF(Scorecard!E52="Half","½ Half",IF(Scorecard!E52="No","✘ MISSED","?")))</f>
        <v>?</v>
      </c>
      <c r="F73" s="1" t="str">
        <f>IF(Scorecard!G52="","",Scorecard!G52)</f>
        <v/>
      </c>
    </row>
    <row r="74" spans="1:6" ht="54.9" customHeight="1" x14ac:dyDescent="0.3">
      <c r="A74" s="9" t="s">
        <v>81</v>
      </c>
      <c r="B74" s="1" t="str">
        <f>Scorecard!B53</f>
        <v>NEXT STEPS told: pending documents → if approved, SOFT SANCTION LETTER → SANCTION LETTER with KFS → DISBURSEMENT; the Operations team will call. How to complain (branch / nodal officer). "Aapka koi sawaal?" — answered.</v>
      </c>
      <c r="C74" s="10">
        <f>Scorecard!C53</f>
        <v>3</v>
      </c>
      <c r="D74" s="10">
        <f>Scorecard!F53</f>
        <v>0</v>
      </c>
      <c r="E74" s="9" t="str">
        <f>IF(Scorecard!E53="Yes","✔ Asked",IF(Scorecard!E53="Half","½ Half",IF(Scorecard!E53="No","✘ MISSED","?")))</f>
        <v>?</v>
      </c>
      <c r="F74" s="1" t="str">
        <f>IF(Scorecard!G53="","",Scorecard!G53)</f>
        <v/>
      </c>
    </row>
    <row r="76" spans="1:6" ht="25.5" customHeight="1" x14ac:dyDescent="0.3">
      <c r="A76" s="19" t="s">
        <v>82</v>
      </c>
      <c r="B76" s="20"/>
      <c r="C76" s="20"/>
      <c r="D76" s="20"/>
      <c r="E76" s="20"/>
      <c r="F76" s="20"/>
    </row>
  </sheetData>
  <mergeCells count="31">
    <mergeCell ref="A1:F1"/>
    <mergeCell ref="A10:B10"/>
    <mergeCell ref="C11:F11"/>
    <mergeCell ref="B28:E28"/>
    <mergeCell ref="A25:F25"/>
    <mergeCell ref="A76:F76"/>
    <mergeCell ref="A7:B7"/>
    <mergeCell ref="C6:F6"/>
    <mergeCell ref="C5:F5"/>
    <mergeCell ref="A43:F43"/>
    <mergeCell ref="A63:F63"/>
    <mergeCell ref="B27:E27"/>
    <mergeCell ref="A5:B5"/>
    <mergeCell ref="A31:F31"/>
    <mergeCell ref="A67:F67"/>
    <mergeCell ref="C10:F10"/>
    <mergeCell ref="A8:B8"/>
    <mergeCell ref="A59:F59"/>
    <mergeCell ref="A36:F36"/>
    <mergeCell ref="A6:B6"/>
    <mergeCell ref="A2:F2"/>
    <mergeCell ref="B26:E26"/>
    <mergeCell ref="A71:F71"/>
    <mergeCell ref="A47:F47"/>
    <mergeCell ref="C4:F4"/>
    <mergeCell ref="A4:B4"/>
    <mergeCell ref="A54:F54"/>
    <mergeCell ref="C8:F8"/>
    <mergeCell ref="A11:B11"/>
    <mergeCell ref="C7:F7"/>
    <mergeCell ref="A12:F12"/>
  </mergeCells>
  <conditionalFormatting sqref="C11">
    <cfRule type="expression" dxfId="6" priority="2">
      <formula>LEFT(C11,3)="NOT"</formula>
    </cfRule>
    <cfRule type="expression" dxfId="5" priority="3">
      <formula>LEFT(C11,3)&lt;&gt;"NOT"</formula>
    </cfRule>
  </conditionalFormatting>
  <conditionalFormatting sqref="E26:E75">
    <cfRule type="expression" dxfId="4" priority="22">
      <formula>LEFT(E26,1)="✘"</formula>
    </cfRule>
    <cfRule type="expression" dxfId="3" priority="23">
      <formula>LEFT(E26,1)="½"</formula>
    </cfRule>
    <cfRule type="expression" dxfId="2" priority="24">
      <formula>LEFT(E26,1)="✔"</formula>
    </cfRule>
  </conditionalFormatting>
  <conditionalFormatting sqref="F15:F23">
    <cfRule type="expression" dxfId="1" priority="4">
      <formula>LEFT(F15,5)="Fully"</formula>
    </cfRule>
    <cfRule type="expression" dxfId="0" priority="5">
      <formula>OR(LEFT(F15,4)="Weak",LEFT(F15,6)="Mostly")</formula>
    </cfRule>
  </conditionalFormatting>
  <pageMargins left="0.75" right="0.75" top="1" bottom="1" header="0.511811023622047" footer="0.511811023622047"/>
  <pageSetup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Scorecard</vt:lpstr>
      <vt:lpstr>My 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Goel</cp:lastModifiedBy>
  <cp:revision>0</cp:revision>
  <dcterms:created xsi:type="dcterms:W3CDTF">2026-09-13T08:53:39Z</dcterms:created>
  <dcterms:modified xsi:type="dcterms:W3CDTF">2026-09-28T05:33:46Z</dcterms:modified>
  <dc:language>en-US</dc:language>
</cp:coreProperties>
</file>