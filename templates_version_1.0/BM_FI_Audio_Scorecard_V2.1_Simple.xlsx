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tg\Desktop\"/>
    </mc:Choice>
  </mc:AlternateContent>
  <xr:revisionPtr revIDLastSave="0" documentId="8_{4074382D-E06B-43B5-A8CE-5629FCA49E22}" xr6:coauthVersionLast="47" xr6:coauthVersionMax="47" xr10:uidLastSave="{00000000-0000-0000-0000-000000000000}"/>
  <bookViews>
    <workbookView xWindow="-108" yWindow="-108" windowWidth="23256" windowHeight="12456" tabRatio="500" activeTab="1" xr2:uid="{00000000-000D-0000-FFFF-FFFF00000000}"/>
  </bookViews>
  <sheets>
    <sheet name="Scorecard" sheetId="1" r:id="rId1"/>
    <sheet name="My Resul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C48" i="1" s="1"/>
  <c r="C43" i="1"/>
  <c r="C49" i="1" s="1"/>
  <c r="C11" i="2" s="1"/>
  <c r="H41" i="1"/>
  <c r="F41" i="1"/>
  <c r="H40" i="1"/>
  <c r="F40" i="1"/>
  <c r="H38" i="1"/>
  <c r="F38" i="1"/>
  <c r="H37" i="1"/>
  <c r="F37" i="1"/>
  <c r="H36" i="1"/>
  <c r="F36" i="1"/>
  <c r="H35" i="1"/>
  <c r="F35" i="1"/>
  <c r="H33" i="1"/>
  <c r="F33" i="1"/>
  <c r="H32" i="1"/>
  <c r="F32" i="1"/>
  <c r="H31" i="1"/>
  <c r="F31" i="1"/>
  <c r="H29" i="1"/>
  <c r="F29" i="1"/>
  <c r="H28" i="1"/>
  <c r="F28" i="1"/>
  <c r="H27" i="1"/>
  <c r="F27" i="1"/>
  <c r="H26" i="1"/>
  <c r="F26" i="1"/>
  <c r="H25" i="1"/>
  <c r="F25" i="1"/>
  <c r="H23" i="1"/>
  <c r="F23" i="1"/>
  <c r="H22" i="1"/>
  <c r="F22" i="1"/>
  <c r="H21" i="1"/>
  <c r="F21" i="1"/>
  <c r="H20" i="1"/>
  <c r="F20" i="1"/>
  <c r="H18" i="1"/>
  <c r="F18" i="1"/>
  <c r="H17" i="1"/>
  <c r="F17" i="1"/>
  <c r="H16" i="1"/>
  <c r="F16" i="1"/>
  <c r="H14" i="1"/>
  <c r="F14" i="1"/>
  <c r="H13" i="1"/>
  <c r="F13" i="1"/>
  <c r="H12" i="1"/>
  <c r="F12" i="1"/>
  <c r="H11" i="1"/>
  <c r="F11" i="1"/>
  <c r="C45" i="1" s="1"/>
  <c r="C46" i="1" s="1"/>
  <c r="C10" i="2" s="1"/>
  <c r="F60" i="2"/>
  <c r="E60" i="2"/>
  <c r="D60" i="2"/>
  <c r="C60" i="2"/>
  <c r="B60" i="2"/>
  <c r="F59" i="2"/>
  <c r="E59" i="2"/>
  <c r="D59" i="2"/>
  <c r="C59" i="2"/>
  <c r="B59" i="2"/>
  <c r="F57" i="2"/>
  <c r="E57" i="2"/>
  <c r="D57" i="2"/>
  <c r="C57" i="2"/>
  <c r="B57" i="2"/>
  <c r="F56" i="2"/>
  <c r="E56" i="2"/>
  <c r="D56" i="2"/>
  <c r="C56" i="2"/>
  <c r="B56" i="2"/>
  <c r="F55" i="2"/>
  <c r="E55" i="2"/>
  <c r="D55" i="2"/>
  <c r="C55" i="2"/>
  <c r="B55" i="2"/>
  <c r="F54" i="2"/>
  <c r="E54" i="2"/>
  <c r="D54" i="2"/>
  <c r="C54" i="2"/>
  <c r="B54" i="2"/>
  <c r="F52" i="2"/>
  <c r="E52" i="2"/>
  <c r="D52" i="2"/>
  <c r="C52" i="2"/>
  <c r="B52" i="2"/>
  <c r="F51" i="2"/>
  <c r="E51" i="2"/>
  <c r="D51" i="2"/>
  <c r="C51" i="2"/>
  <c r="B51" i="2"/>
  <c r="F50" i="2"/>
  <c r="E50" i="2"/>
  <c r="D50" i="2"/>
  <c r="C50" i="2"/>
  <c r="B50" i="2"/>
  <c r="F48" i="2"/>
  <c r="E48" i="2"/>
  <c r="D48" i="2"/>
  <c r="C48" i="2"/>
  <c r="B48" i="2"/>
  <c r="F47" i="2"/>
  <c r="E47" i="2"/>
  <c r="D47" i="2"/>
  <c r="C47" i="2"/>
  <c r="B47" i="2"/>
  <c r="F46" i="2"/>
  <c r="E46" i="2"/>
  <c r="D46" i="2"/>
  <c r="C46" i="2"/>
  <c r="B46" i="2"/>
  <c r="F45" i="2"/>
  <c r="E45" i="2"/>
  <c r="D45" i="2"/>
  <c r="C45" i="2"/>
  <c r="B45" i="2"/>
  <c r="F44" i="2"/>
  <c r="E44" i="2"/>
  <c r="D44" i="2"/>
  <c r="C44" i="2"/>
  <c r="B44" i="2"/>
  <c r="F42" i="2"/>
  <c r="E42" i="2"/>
  <c r="D42" i="2"/>
  <c r="C42" i="2"/>
  <c r="B42" i="2"/>
  <c r="F41" i="2"/>
  <c r="E41" i="2"/>
  <c r="D41" i="2"/>
  <c r="C41" i="2"/>
  <c r="B41" i="2"/>
  <c r="F40" i="2"/>
  <c r="E40" i="2"/>
  <c r="D40" i="2"/>
  <c r="C40" i="2"/>
  <c r="B40" i="2"/>
  <c r="F39" i="2"/>
  <c r="E39" i="2"/>
  <c r="D39" i="2"/>
  <c r="C39" i="2"/>
  <c r="B39" i="2"/>
  <c r="F37" i="2"/>
  <c r="E37" i="2"/>
  <c r="D37" i="2"/>
  <c r="C37" i="2"/>
  <c r="B37" i="2"/>
  <c r="F36" i="2"/>
  <c r="E36" i="2"/>
  <c r="D36" i="2"/>
  <c r="C36" i="2"/>
  <c r="B36" i="2"/>
  <c r="F35" i="2"/>
  <c r="E35" i="2"/>
  <c r="D35" i="2"/>
  <c r="C35" i="2"/>
  <c r="B35" i="2"/>
  <c r="F33" i="2"/>
  <c r="E33" i="2"/>
  <c r="D33" i="2"/>
  <c r="C33" i="2"/>
  <c r="B33" i="2"/>
  <c r="F32" i="2"/>
  <c r="E32" i="2"/>
  <c r="D32" i="2"/>
  <c r="C32" i="2"/>
  <c r="B32" i="2"/>
  <c r="F31" i="2"/>
  <c r="E31" i="2"/>
  <c r="D31" i="2"/>
  <c r="C31" i="2"/>
  <c r="B31" i="2"/>
  <c r="F30" i="2"/>
  <c r="E30" i="2"/>
  <c r="D30" i="2"/>
  <c r="C30" i="2"/>
  <c r="B30" i="2"/>
  <c r="F26" i="2"/>
  <c r="B26" i="2"/>
  <c r="F25" i="2"/>
  <c r="B25" i="2"/>
  <c r="F24" i="2"/>
  <c r="B24" i="2"/>
  <c r="D21" i="2"/>
  <c r="D20" i="2"/>
  <c r="D19" i="2"/>
  <c r="D18" i="2"/>
  <c r="D17" i="2"/>
  <c r="D16" i="2"/>
  <c r="D15" i="2"/>
  <c r="C8" i="2"/>
  <c r="C7" i="2"/>
  <c r="C6" i="2"/>
  <c r="C5" i="2"/>
  <c r="C4" i="2"/>
  <c r="F21" i="2" l="1"/>
  <c r="E21" i="2"/>
  <c r="F20" i="2"/>
  <c r="E20" i="2"/>
  <c r="F19" i="2"/>
  <c r="E19" i="2"/>
  <c r="F18" i="2"/>
  <c r="E18" i="2"/>
  <c r="F17" i="2"/>
  <c r="E17" i="2"/>
  <c r="F16" i="2"/>
  <c r="E16" i="2"/>
  <c r="F15" i="2"/>
  <c r="E15" i="2"/>
</calcChain>
</file>

<file path=xl/sharedStrings.xml><?xml version="1.0" encoding="utf-8"?>
<sst xmlns="http://schemas.openxmlformats.org/spreadsheetml/2006/main" count="170" uniqueCount="132">
  <si>
    <t>MY FI CALL RESULT</t>
  </si>
  <si>
    <t>Read this after every FI call. It shows your score, what you missed and what to ask first next time. Nothing to fill here — it comes from the Scorecard.</t>
  </si>
  <si>
    <t>BM</t>
  </si>
  <si>
    <t>Customer</t>
  </si>
  <si>
    <t>Application ID</t>
  </si>
  <si>
    <t>Date</t>
  </si>
  <si>
    <t>Recording length (min)</t>
  </si>
  <si>
    <t>MY SCORE</t>
  </si>
  <si>
    <t>RESULT</t>
  </si>
  <si>
    <t>Minimum to pass: 75. All MUST items must be Yes. 90+ is Excellent.</t>
  </si>
  <si>
    <t>HOW I DID — GROUP-WISE</t>
  </si>
  <si>
    <t>Points</t>
  </si>
  <si>
    <t>I got</t>
  </si>
  <si>
    <t>%</t>
  </si>
  <si>
    <t>Comment</t>
  </si>
  <si>
    <t>A</t>
  </si>
  <si>
    <t>Call Opening &amp; Identity</t>
  </si>
  <si>
    <t>B</t>
  </si>
  <si>
    <t>Sourcing, RM Visit &amp; Login Fee</t>
  </si>
  <si>
    <t>C</t>
  </si>
  <si>
    <t>Loan, Product &amp; End Use</t>
  </si>
  <si>
    <t>D</t>
  </si>
  <si>
    <t>All Incomes Of The Household</t>
  </si>
  <si>
    <t>E</t>
  </si>
  <si>
    <t>Current Loans &amp; Other Applications</t>
  </si>
  <si>
    <t>F</t>
  </si>
  <si>
    <t>Collateral Property</t>
  </si>
  <si>
    <t>G</t>
  </si>
  <si>
    <t>Call Conduct &amp; Next Steps</t>
  </si>
  <si>
    <t>NEXT TIME — ASK THESE FIRST (the 3 items where I lost most points)</t>
  </si>
  <si>
    <t>No</t>
  </si>
  <si>
    <t>MY CHECKLIST — WHAT I ASKED AND WHAT I MISSED</t>
  </si>
  <si>
    <t>Mark</t>
  </si>
  <si>
    <t>What was missing</t>
  </si>
  <si>
    <t>A. CALL OPENING &amp; IDENTITY</t>
  </si>
  <si>
    <t>A1 ★</t>
  </si>
  <si>
    <t>A2 ★</t>
  </si>
  <si>
    <t>A3</t>
  </si>
  <si>
    <t>A4</t>
  </si>
  <si>
    <t>B. SOURCING, RM VISIT &amp; LOGIN FEE</t>
  </si>
  <si>
    <t>B1</t>
  </si>
  <si>
    <t>B2 ★</t>
  </si>
  <si>
    <t>B3 ★</t>
  </si>
  <si>
    <t>C. LOAN, PRODUCT &amp; END USE</t>
  </si>
  <si>
    <t>C1 ★</t>
  </si>
  <si>
    <t>C2 ★</t>
  </si>
  <si>
    <t>C3</t>
  </si>
  <si>
    <t>C4</t>
  </si>
  <si>
    <t>D. ALL INCOMES OF THE HOUSEHOLD</t>
  </si>
  <si>
    <t>D1</t>
  </si>
  <si>
    <t>D2</t>
  </si>
  <si>
    <t>D3</t>
  </si>
  <si>
    <t>D4</t>
  </si>
  <si>
    <t>D5 ★</t>
  </si>
  <si>
    <t>E. CURRENT LOANS &amp; OTHER APPLICATIONS</t>
  </si>
  <si>
    <t>E1 ★</t>
  </si>
  <si>
    <t>E2</t>
  </si>
  <si>
    <t>E3 ★</t>
  </si>
  <si>
    <t>F. COLLATERAL PROPERTY</t>
  </si>
  <si>
    <t>F1</t>
  </si>
  <si>
    <t>F2 ★</t>
  </si>
  <si>
    <t>F3 ★</t>
  </si>
  <si>
    <t>F4 ★</t>
  </si>
  <si>
    <t>G. CALL CONDUCT &amp; NEXT STEPS</t>
  </si>
  <si>
    <t>G1</t>
  </si>
  <si>
    <t>G2</t>
  </si>
  <si>
    <t>★ = MUST item. A MUST item marked ½ or ✘ means the recording is not accepted — call the customer again for those points (a short extra call covering only the missed points is fine).</t>
  </si>
  <si>
    <t>BM AUDIO FI — PHONE CALL RECORDING SCORECARD (V2.1 Simple)</t>
  </si>
  <si>
    <t>Evaluator: fill the yellow cells only. For each item choose Yes (asked / said fully with names and figures), Half (asked but vague or incomplete) or No (not asked). If the customer clearly says something does NOT exist (no land, no animals, no other income, no overdue) — that IS covered: mark YES. Score, result and the BM's "My Result" page fill automatically.</t>
  </si>
  <si>
    <t>Recording length (minutes)</t>
  </si>
  <si>
    <t>Customer name</t>
  </si>
  <si>
    <t>Recording uploaded on PRAGATI the same day? (Yes/No)</t>
  </si>
  <si>
    <t>BM name</t>
  </si>
  <si>
    <t>Both sides clearly audible? (Yes/No)</t>
  </si>
  <si>
    <t>Date of call &amp; recording</t>
  </si>
  <si>
    <t>Evaluator</t>
  </si>
  <si>
    <t>WHAT THE BM MUST ASK / SAY ON THE CALL</t>
  </si>
  <si>
    <t>MUST</t>
  </si>
  <si>
    <t>Covered? (Yes / Half / No)</t>
  </si>
  <si>
    <t>Score</t>
  </si>
  <si>
    <t>What was missing — evaluator note</t>
  </si>
  <si>
    <t>lost (helper)</t>
  </si>
  <si>
    <t>Minute 0–1</t>
  </si>
  <si>
    <t>A1</t>
  </si>
  <si>
    <t>Say at the start: "Yeh call record ho rahi hai, aapke loan verification ke liye." Then state Application ID, customer name and village/town.</t>
  </si>
  <si>
    <t>A2</t>
  </si>
  <si>
    <t>Confirm you are talking to the MAIN BORROWER himself / herself — full name, this is his own number (on video: face matches the KYC photo). Not a relative, agent or anyone else.</t>
  </si>
  <si>
    <t>Ask the customer: does he know that he has applied for a loan with PRODIGEE FINANCE LIMITED? Even if he does not say the name correctly, do NOT cut points — what matters is that the BM ASKS this on the call.</t>
  </si>
  <si>
    <t>Say that before calling you have seen the Prodigee BPS Score, the CRIF Score and the business photos of the borrower.</t>
  </si>
  <si>
    <t>Minute 1–3</t>
  </si>
  <si>
    <t>Who came to log in the file — the RM's NAME, and WHEN did he visit? Did he visit the business AND the home?</t>
  </si>
  <si>
    <t>B2</t>
  </si>
  <si>
    <t>LOGIN FEE: how much was collected, by WHOM (must be the Prodigee RM himself), and was a receipt given. Amount must match PRAGATI.</t>
  </si>
  <si>
    <t>B3</t>
  </si>
  <si>
    <t>Ask directly: any agent, broker, DSA or connector in between? Did ANYONE ask for commission, fees or money for this loan? Tell the customer: Prodigee has ZERO COMMISSION — pay nobody.</t>
  </si>
  <si>
    <t>Minute 3–5</t>
  </si>
  <si>
    <t>C1</t>
  </si>
  <si>
    <t>Customer clearly understands: this is a BUSINESS Loan Against Property — the property will be MORTGAGED to Prodigee.</t>
  </si>
  <si>
    <t>C2</t>
  </si>
  <si>
    <t>LOAN AMOUNT: check the loan amount the customer requires.</t>
  </si>
  <si>
    <t>END USE: what the money is for — how much, for what, when. Business-linked and not a restricted use.</t>
  </si>
  <si>
    <t>FRESH or BT? Is this a FRESH loan requirement, or a Balance Transfer (BT) from an existing lender? Is there already a loan on this property that the customer wants us to take over and give additional (top-up) funds?</t>
  </si>
  <si>
    <t>Minute 5–9</t>
  </si>
  <si>
    <t>PRIMARY BUSINESS: what, where, since when, who runs it. Average DAILY sales / income and MONTHLY income — in the customer's own figures.</t>
  </si>
  <si>
    <t>OTHER BUSINESSES run by the borrower or co-borrowers — each one with its average daily and monthly income.</t>
  </si>
  <si>
    <t>ADDITIONAL INCOMES: salary, rent, pension, transport, family members' earnings — source and monthly amount for each.</t>
  </si>
  <si>
    <t>AGRICULTURE &amp; DAIRY: land — acres, in whose name; crops; approximate yearly income; KCC running? Any dairy / animals — if yes, how many animals and how many litres of milk per day. If no farm land or no animals, the customer says so clearly (counts as covered).</t>
  </si>
  <si>
    <t>D5</t>
  </si>
  <si>
    <t>Ask the customer: is the income of the WHOLE HOUSEHOLD put together more than Rs. 30,000 per month (NOT counting agriculture income)? Yes / No.</t>
  </si>
  <si>
    <t>Minute 9–11</t>
  </si>
  <si>
    <t>E1</t>
  </si>
  <si>
    <t>ACTIVE LOANS: every active loan — lender, EMI, since when — checked with the customer against the BPS / CRIF. Closed loans need NOT be checked.</t>
  </si>
  <si>
    <t>OVERDUES: for every active loan overdue NOW — and any overdue in the PAST — ask the customer the reason. If there is no overdue, say so.</t>
  </si>
  <si>
    <t>E3</t>
  </si>
  <si>
    <t>APPLIED ANYWHERE ELSE? Which bank / NBFC, how much, when, and the STATUS — sanctioned / rejected / pending — and why.</t>
  </si>
  <si>
    <t>Minute 11–13</t>
  </si>
  <si>
    <t>WHICH PROPERTY will be mortgaged: house / shop / plot, where, self-occupied or rented out, approximate size.</t>
  </si>
  <si>
    <t>F2</t>
  </si>
  <si>
    <t>PROPERTY PAPERS: what type the customer will give — Registered Sale Deed / Patta / 5-pager / other; are the ORIGINALS with him?</t>
  </si>
  <si>
    <t>F3</t>
  </si>
  <si>
    <t>ALREADY MORTGAGED anywhere? Papers lying with any bank / finance company? Is he willing to mortgage it?</t>
  </si>
  <si>
    <t>F4</t>
  </si>
  <si>
    <t>OWNERS: who all are the owners of the property — will ALL of them come as CO-BORROWERS? FEMALE CO-BORROWER IS MANDATORY — wife (or mother, if unmarried): her name, and has she agreed?</t>
  </si>
  <si>
    <t>Minute 13–15</t>
  </si>
  <si>
    <t>Call 5 to 15 minutes, both sides audible end to end. Open questions — the customer speaks first; no feeding of figures; nobody prompting him in the background.</t>
  </si>
  <si>
    <t>Tell the customer the next steps: the file goes to the Credit Team; a Credit call will come; then the BCM will visit the business and the home. Clean Track Reward (last 3 EMIs waived on clean repayment). Pay nobody any commission.</t>
  </si>
  <si>
    <t>Recording valid? (5–15 minutes, uploaded same day, audible)</t>
  </si>
  <si>
    <t>Points applicable</t>
  </si>
  <si>
    <t>Points scored</t>
  </si>
  <si>
    <t>SCORE (out of 100)</t>
  </si>
  <si>
    <t>MUST items not fully covered (count)</t>
  </si>
  <si>
    <t>MUST items missed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</si>
</sst>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FFFFFF"/>
      <name val="Aptos Display"/>
      <charset val="1"/>
    </font>
    <font>
      <i/>
      <sz val="11"/>
      <color rgb="FF595959"/>
      <name val="Aptos Display"/>
      <charset val="1"/>
    </font>
    <font>
      <b/>
      <sz val="11"/>
      <name val="Aptos Display"/>
      <charset val="1"/>
    </font>
    <font>
      <sz val="11"/>
      <name val="Aptos Display"/>
      <charset val="1"/>
    </font>
    <font>
      <b/>
      <sz val="11"/>
      <color rgb="FFFFFFFF"/>
      <name val="Aptos Display"/>
      <charset val="1"/>
    </font>
    <font>
      <sz val="11"/>
      <color rgb="FFA6A6A6"/>
      <name val="Aptos Display"/>
      <charset val="1"/>
    </font>
    <font>
      <b/>
      <sz val="11"/>
      <color rgb="FF7C1D1D"/>
      <name val="Aptos Display"/>
      <charset val="1"/>
    </font>
    <font>
      <b/>
      <sz val="14"/>
      <name val="Aptos Display"/>
      <charset val="1"/>
    </font>
    <font>
      <b/>
      <sz val="12"/>
      <name val="Aptos Display"/>
      <charset val="1"/>
    </font>
    <font>
      <b/>
      <sz val="16"/>
      <color rgb="FFFFFFFF"/>
      <name val="Aptos Display"/>
      <charset val="1"/>
    </font>
    <font>
      <b/>
      <sz val="12"/>
      <color rgb="FFFFFFFF"/>
      <name val="Aptos Display"/>
      <charset val="1"/>
    </font>
    <font>
      <b/>
      <sz val="20"/>
      <name val="Aptos Display"/>
      <charset val="1"/>
    </font>
  </fonts>
  <fills count="6">
    <fill>
      <patternFill patternType="none"/>
    </fill>
    <fill>
      <patternFill patternType="gray125"/>
    </fill>
    <fill>
      <patternFill patternType="solid">
        <fgColor rgb="FF1F3864"/>
        <bgColor rgb="FF333333"/>
      </patternFill>
    </fill>
    <fill>
      <patternFill patternType="solid">
        <fgColor rgb="FFF4F7FC"/>
        <bgColor rgb="FFFFFFFF"/>
      </patternFill>
    </fill>
    <fill>
      <patternFill patternType="solid">
        <fgColor rgb="FFFFF2CC"/>
        <bgColor rgb="FFFBE4E4"/>
      </patternFill>
    </fill>
    <fill>
      <patternFill patternType="solid">
        <fgColor rgb="FF2E5496"/>
        <bgColor rgb="FF1F38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41">
    <xf numFmtId="0" fontId="0" fillId="0" borderId="0" xfId="0"/>
    <xf numFmtId="0" fontId="4"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7"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0" xfId="0" applyAlignment="1">
      <alignment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0" borderId="0" xfId="0" applyFont="1" applyAlignme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1" fontId="4" fillId="0" borderId="1" xfId="0" applyNumberFormat="1" applyFont="1" applyBorder="1" applyAlignment="1">
      <alignment horizontal="left" vertical="center" wrapText="1"/>
    </xf>
    <xf numFmtId="0" fontId="0" fillId="0" borderId="4" xfId="0" applyBorder="1"/>
    <xf numFmtId="0" fontId="0" fillId="0" borderId="3" xfId="0" applyBorder="1"/>
    <xf numFmtId="0" fontId="11"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2" fillId="0" borderId="0" xfId="0" applyFont="1" applyAlignment="1">
      <alignment horizontal="left" vertical="top" wrapText="1"/>
    </xf>
    <xf numFmtId="0" fontId="0" fillId="0" borderId="0" xfId="0"/>
    <xf numFmtId="0" fontId="3" fillId="3" borderId="1" xfId="0" applyFont="1" applyFill="1" applyBorder="1" applyAlignment="1">
      <alignment horizontal="left" vertical="top" wrapText="1"/>
    </xf>
    <xf numFmtId="0" fontId="5" fillId="5" borderId="2" xfId="0" applyFont="1" applyFill="1" applyBorder="1" applyAlignment="1">
      <alignment horizontal="left" vertical="center" wrapText="1"/>
    </xf>
    <xf numFmtId="0" fontId="5" fillId="2" borderId="1" xfId="0" applyFont="1" applyFill="1" applyBorder="1" applyAlignment="1">
      <alignment horizontal="left" vertical="top" wrapText="1"/>
    </xf>
    <xf numFmtId="0" fontId="12" fillId="0" borderId="1" xfId="0" applyFont="1" applyBorder="1" applyAlignment="1">
      <alignment horizontal="center" vertical="center" wrapText="1"/>
    </xf>
    <xf numFmtId="0" fontId="10" fillId="2" borderId="0" xfId="0" applyFont="1" applyFill="1" applyAlignment="1">
      <alignment horizontal="left" vertical="top"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9"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 fillId="2" borderId="0" xfId="0" applyFont="1" applyFill="1" applyAlignment="1">
      <alignment horizontal="left" vertical="center" wrapText="1"/>
    </xf>
    <xf numFmtId="0" fontId="0" fillId="0" borderId="0" xfId="0" applyAlignment="1">
      <alignment vertical="center"/>
    </xf>
    <xf numFmtId="0" fontId="8" fillId="0" borderId="1" xfId="0" applyFont="1" applyBorder="1" applyAlignment="1">
      <alignment horizontal="left" vertical="center" wrapText="1"/>
    </xf>
    <xf numFmtId="0" fontId="2" fillId="0" borderId="0" xfId="0" applyFont="1" applyAlignment="1">
      <alignment horizontal="left" vertical="center" wrapText="1"/>
    </xf>
    <xf numFmtId="1" fontId="4" fillId="4" borderId="1" xfId="0" applyNumberFormat="1" applyFont="1" applyFill="1" applyBorder="1" applyAlignment="1">
      <alignment horizontal="left" vertical="center" wrapText="1"/>
    </xf>
    <xf numFmtId="0" fontId="5" fillId="2" borderId="1" xfId="0" applyFont="1" applyFill="1" applyBorder="1" applyAlignment="1">
      <alignment horizontal="center" vertical="center" wrapText="1"/>
    </xf>
  </cellXfs>
  <cellStyles count="1">
    <cellStyle name="Normal" xfId="0" builtinId="0"/>
  </cellStyles>
  <dxfs count="12">
    <dxf>
      <fill>
        <patternFill>
          <bgColor rgb="FFFBE4E4"/>
        </patternFill>
      </fill>
    </dxf>
    <dxf>
      <fill>
        <patternFill>
          <bgColor rgb="FFE2EFDA"/>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C1D1D"/>
      <rgbColor rgb="FF008000"/>
      <rgbColor rgb="FF000080"/>
      <rgbColor rgb="FF808000"/>
      <rgbColor rgb="FF800080"/>
      <rgbColor rgb="FF008080"/>
      <rgbColor rgb="FFBFBFBF"/>
      <rgbColor rgb="FF808080"/>
      <rgbColor rgb="FF9999FF"/>
      <rgbColor rgb="FF993366"/>
      <rgbColor rgb="FFFFF2CC"/>
      <rgbColor rgb="FFF4F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9"/>
  <sheetViews>
    <sheetView topLeftCell="A36" zoomScaleNormal="100" workbookViewId="0">
      <selection activeCell="G39" sqref="G39"/>
    </sheetView>
  </sheetViews>
  <sheetFormatPr defaultColWidth="8.6640625" defaultRowHeight="14.4" x14ac:dyDescent="0.3"/>
  <cols>
    <col min="1" max="1" width="18.5546875" style="9" customWidth="1"/>
    <col min="2" max="2" width="78" style="9" customWidth="1"/>
    <col min="3" max="3" width="10.33203125" style="9" customWidth="1"/>
    <col min="4" max="5" width="12" style="9" customWidth="1"/>
    <col min="6" max="6" width="7" style="9" customWidth="1"/>
    <col min="7" max="7" width="40" style="9" customWidth="1"/>
    <col min="8" max="8" width="8" style="9" customWidth="1"/>
    <col min="9" max="9" width="8.6640625" style="9" customWidth="1"/>
    <col min="10" max="16384" width="8.6640625" style="9"/>
  </cols>
  <sheetData>
    <row r="1" spans="1:8" ht="18" customHeight="1" x14ac:dyDescent="0.3">
      <c r="A1" s="35" t="s">
        <v>67</v>
      </c>
      <c r="B1" s="36"/>
      <c r="C1" s="36"/>
      <c r="D1" s="36"/>
      <c r="E1" s="36"/>
      <c r="F1" s="36"/>
      <c r="G1" s="36"/>
    </row>
    <row r="2" spans="1:8" ht="45" customHeight="1" x14ac:dyDescent="0.3">
      <c r="A2" s="38" t="s">
        <v>68</v>
      </c>
      <c r="B2" s="36"/>
      <c r="C2" s="36"/>
      <c r="D2" s="36"/>
      <c r="E2" s="36"/>
      <c r="F2" s="36"/>
      <c r="G2" s="36"/>
    </row>
    <row r="4" spans="1:8" ht="31.2" customHeight="1" x14ac:dyDescent="0.3">
      <c r="A4" s="10" t="s">
        <v>4</v>
      </c>
      <c r="B4" s="11"/>
      <c r="C4" s="31" t="s">
        <v>69</v>
      </c>
      <c r="D4" s="19"/>
      <c r="E4" s="39"/>
      <c r="F4" s="18"/>
      <c r="G4" s="19"/>
    </row>
    <row r="5" spans="1:8" ht="43.2" customHeight="1" x14ac:dyDescent="0.3">
      <c r="A5" s="10" t="s">
        <v>70</v>
      </c>
      <c r="B5" s="11"/>
      <c r="C5" s="31" t="s">
        <v>71</v>
      </c>
      <c r="D5" s="19"/>
      <c r="E5" s="34"/>
      <c r="F5" s="18"/>
      <c r="G5" s="19"/>
    </row>
    <row r="6" spans="1:8" ht="30.6" customHeight="1" x14ac:dyDescent="0.3">
      <c r="A6" s="10" t="s">
        <v>72</v>
      </c>
      <c r="B6" s="11"/>
      <c r="C6" s="31" t="s">
        <v>73</v>
      </c>
      <c r="D6" s="19"/>
      <c r="E6" s="34"/>
      <c r="F6" s="18"/>
      <c r="G6" s="19"/>
    </row>
    <row r="7" spans="1:8" ht="28.8" customHeight="1" x14ac:dyDescent="0.3">
      <c r="A7" s="10" t="s">
        <v>74</v>
      </c>
      <c r="B7" s="11"/>
      <c r="C7" s="31" t="s">
        <v>75</v>
      </c>
      <c r="D7" s="19"/>
      <c r="E7" s="34"/>
      <c r="F7" s="18"/>
      <c r="G7" s="19"/>
    </row>
    <row r="9" spans="1:8" ht="43.2" customHeight="1" x14ac:dyDescent="0.3">
      <c r="A9" s="3" t="s">
        <v>30</v>
      </c>
      <c r="B9" s="3" t="s">
        <v>76</v>
      </c>
      <c r="C9" s="3" t="s">
        <v>11</v>
      </c>
      <c r="D9" s="3" t="s">
        <v>77</v>
      </c>
      <c r="E9" s="3" t="s">
        <v>78</v>
      </c>
      <c r="F9" s="3" t="s">
        <v>79</v>
      </c>
      <c r="G9" s="3" t="s">
        <v>80</v>
      </c>
      <c r="H9" s="12" t="s">
        <v>81</v>
      </c>
    </row>
    <row r="10" spans="1:8" x14ac:dyDescent="0.3">
      <c r="A10" s="33" t="s">
        <v>34</v>
      </c>
      <c r="B10" s="19"/>
      <c r="C10" s="40">
        <v>10</v>
      </c>
      <c r="D10" s="2"/>
      <c r="E10" s="2"/>
      <c r="F10" s="2"/>
      <c r="G10" s="40" t="s">
        <v>82</v>
      </c>
    </row>
    <row r="11" spans="1:8" ht="34.049999999999997" customHeight="1" x14ac:dyDescent="0.3">
      <c r="A11" s="13" t="s">
        <v>83</v>
      </c>
      <c r="B11" s="1" t="s">
        <v>84</v>
      </c>
      <c r="C11" s="14">
        <v>3</v>
      </c>
      <c r="D11" s="15" t="s">
        <v>77</v>
      </c>
      <c r="E11" s="16"/>
      <c r="F11" s="14">
        <f>IF(E11="Yes",C11,IF(E11="Half",C11/2,0))</f>
        <v>0</v>
      </c>
      <c r="G11" s="11"/>
      <c r="H11" s="12">
        <f>IF(E11="Yes",0,IF(E11="Half",C11/2,C11)+(1000-ROW())/100000)</f>
        <v>3.00989</v>
      </c>
    </row>
    <row r="12" spans="1:8" ht="49.05" customHeight="1" x14ac:dyDescent="0.3">
      <c r="A12" s="13" t="s">
        <v>85</v>
      </c>
      <c r="B12" s="1" t="s">
        <v>86</v>
      </c>
      <c r="C12" s="14">
        <v>3</v>
      </c>
      <c r="D12" s="15" t="s">
        <v>77</v>
      </c>
      <c r="E12" s="16"/>
      <c r="F12" s="14">
        <f>IF(E12="Yes",C12,IF(E12="Half",C12/2,0))</f>
        <v>0</v>
      </c>
      <c r="G12" s="11"/>
      <c r="H12" s="12">
        <f>IF(E12="Yes",0,IF(E12="Half",C12/2,C12)+(1000-ROW())/100000)</f>
        <v>3.0098799999999999</v>
      </c>
    </row>
    <row r="13" spans="1:8" ht="49.05" customHeight="1" x14ac:dyDescent="0.3">
      <c r="A13" s="13" t="s">
        <v>37</v>
      </c>
      <c r="B13" s="1" t="s">
        <v>87</v>
      </c>
      <c r="C13" s="14">
        <v>2</v>
      </c>
      <c r="D13" s="15"/>
      <c r="E13" s="16"/>
      <c r="F13" s="14">
        <f>IF(E13="Yes",C13,IF(E13="Half",C13/2,0))</f>
        <v>0</v>
      </c>
      <c r="G13" s="11"/>
      <c r="H13" s="12">
        <f>IF(E13="Yes",0,IF(E13="Half",C13/2,C13)+(1000-ROW())/100000)</f>
        <v>2.0098699999999998</v>
      </c>
    </row>
    <row r="14" spans="1:8" ht="34.049999999999997" customHeight="1" x14ac:dyDescent="0.3">
      <c r="A14" s="13" t="s">
        <v>38</v>
      </c>
      <c r="B14" s="1" t="s">
        <v>88</v>
      </c>
      <c r="C14" s="14">
        <v>2</v>
      </c>
      <c r="D14" s="15"/>
      <c r="E14" s="16"/>
      <c r="F14" s="14">
        <f>IF(E14="Yes",C14,IF(E14="Half",C14/2,0))</f>
        <v>0</v>
      </c>
      <c r="G14" s="11"/>
      <c r="H14" s="12">
        <f>IF(E14="Yes",0,IF(E14="Half",C14/2,C14)+(1000-ROW())/100000)</f>
        <v>2.0098600000000002</v>
      </c>
    </row>
    <row r="15" spans="1:8" x14ac:dyDescent="0.3">
      <c r="A15" s="33" t="s">
        <v>39</v>
      </c>
      <c r="B15" s="19"/>
      <c r="C15" s="40">
        <v>12</v>
      </c>
      <c r="D15" s="2"/>
      <c r="E15" s="2"/>
      <c r="F15" s="2"/>
      <c r="G15" s="40" t="s">
        <v>89</v>
      </c>
    </row>
    <row r="16" spans="1:8" ht="34.049999999999997" customHeight="1" x14ac:dyDescent="0.3">
      <c r="A16" s="13" t="s">
        <v>40</v>
      </c>
      <c r="B16" s="1" t="s">
        <v>90</v>
      </c>
      <c r="C16" s="14">
        <v>4</v>
      </c>
      <c r="D16" s="15"/>
      <c r="E16" s="16"/>
      <c r="F16" s="14">
        <f>IF(E16="Yes",C16,IF(E16="Half",C16/2,0))</f>
        <v>0</v>
      </c>
      <c r="G16" s="11"/>
      <c r="H16" s="12">
        <f>IF(E16="Yes",0,IF(E16="Half",C16/2,C16)+(1000-ROW())/100000)</f>
        <v>4.0098399999999996</v>
      </c>
    </row>
    <row r="17" spans="1:8" ht="34.049999999999997" customHeight="1" x14ac:dyDescent="0.3">
      <c r="A17" s="13" t="s">
        <v>91</v>
      </c>
      <c r="B17" s="1" t="s">
        <v>92</v>
      </c>
      <c r="C17" s="14">
        <v>4</v>
      </c>
      <c r="D17" s="15" t="s">
        <v>77</v>
      </c>
      <c r="E17" s="16"/>
      <c r="F17" s="14">
        <f>IF(E17="Yes",C17,IF(E17="Half",C17/2,0))</f>
        <v>0</v>
      </c>
      <c r="G17" s="11"/>
      <c r="H17" s="12">
        <f>IF(E17="Yes",0,IF(E17="Half",C17/2,C17)+(1000-ROW())/100000)</f>
        <v>4.00983</v>
      </c>
    </row>
    <row r="18" spans="1:8" ht="49.05" customHeight="1" x14ac:dyDescent="0.3">
      <c r="A18" s="13" t="s">
        <v>93</v>
      </c>
      <c r="B18" s="1" t="s">
        <v>94</v>
      </c>
      <c r="C18" s="14">
        <v>4</v>
      </c>
      <c r="D18" s="15" t="s">
        <v>77</v>
      </c>
      <c r="E18" s="16"/>
      <c r="F18" s="14">
        <f>IF(E18="Yes",C18,IF(E18="Half",C18/2,0))</f>
        <v>0</v>
      </c>
      <c r="G18" s="11"/>
      <c r="H18" s="12">
        <f>IF(E18="Yes",0,IF(E18="Half",C18/2,C18)+(1000-ROW())/100000)</f>
        <v>4.0098200000000004</v>
      </c>
    </row>
    <row r="19" spans="1:8" x14ac:dyDescent="0.3">
      <c r="A19" s="33" t="s">
        <v>43</v>
      </c>
      <c r="B19" s="19"/>
      <c r="C19" s="40">
        <v>12</v>
      </c>
      <c r="D19" s="2"/>
      <c r="E19" s="2"/>
      <c r="F19" s="2"/>
      <c r="G19" s="40" t="s">
        <v>95</v>
      </c>
    </row>
    <row r="20" spans="1:8" ht="34.049999999999997" customHeight="1" x14ac:dyDescent="0.3">
      <c r="A20" s="13" t="s">
        <v>96</v>
      </c>
      <c r="B20" s="1" t="s">
        <v>97</v>
      </c>
      <c r="C20" s="14">
        <v>2</v>
      </c>
      <c r="D20" s="15" t="s">
        <v>77</v>
      </c>
      <c r="E20" s="16"/>
      <c r="F20" s="14">
        <f>IF(E20="Yes",C20,IF(E20="Half",C20/2,0))</f>
        <v>0</v>
      </c>
      <c r="G20" s="11"/>
      <c r="H20" s="12">
        <f>IF(E20="Yes",0,IF(E20="Half",C20/2,C20)+(1000-ROW())/100000)</f>
        <v>2.0097999999999998</v>
      </c>
    </row>
    <row r="21" spans="1:8" ht="30" customHeight="1" x14ac:dyDescent="0.3">
      <c r="A21" s="13" t="s">
        <v>98</v>
      </c>
      <c r="B21" s="1" t="s">
        <v>99</v>
      </c>
      <c r="C21" s="14">
        <v>2</v>
      </c>
      <c r="D21" s="15" t="s">
        <v>77</v>
      </c>
      <c r="E21" s="16"/>
      <c r="F21" s="14">
        <f>IF(E21="Yes",C21,IF(E21="Half",C21/2,0))</f>
        <v>0</v>
      </c>
      <c r="G21" s="11"/>
      <c r="H21" s="12">
        <f>IF(E21="Yes",0,IF(E21="Half",C21/2,C21)+(1000-ROW())/100000)</f>
        <v>2.0097900000000002</v>
      </c>
    </row>
    <row r="22" spans="1:8" ht="34.049999999999997" customHeight="1" x14ac:dyDescent="0.3">
      <c r="A22" s="13" t="s">
        <v>46</v>
      </c>
      <c r="B22" s="1" t="s">
        <v>100</v>
      </c>
      <c r="C22" s="14">
        <v>2</v>
      </c>
      <c r="D22" s="15"/>
      <c r="E22" s="16"/>
      <c r="F22" s="14">
        <f>IF(E22="Yes",C22,IF(E22="Half",C22/2,0))</f>
        <v>0</v>
      </c>
      <c r="G22" s="11"/>
      <c r="H22" s="12">
        <f>IF(E22="Yes",0,IF(E22="Half",C22/2,C22)+(1000-ROW())/100000)</f>
        <v>2.0097800000000001</v>
      </c>
    </row>
    <row r="23" spans="1:8" ht="49.05" customHeight="1" x14ac:dyDescent="0.3">
      <c r="A23" s="13" t="s">
        <v>47</v>
      </c>
      <c r="B23" s="1" t="s">
        <v>101</v>
      </c>
      <c r="C23" s="14">
        <v>6</v>
      </c>
      <c r="D23" s="15"/>
      <c r="E23" s="16"/>
      <c r="F23" s="14">
        <f>IF(E23="Yes",C23,IF(E23="Half",C23/2,0))</f>
        <v>0</v>
      </c>
      <c r="G23" s="11"/>
      <c r="H23" s="12">
        <f>IF(E23="Yes",0,IF(E23="Half",C23/2,C23)+(1000-ROW())/100000)</f>
        <v>6.0097699999999996</v>
      </c>
    </row>
    <row r="24" spans="1:8" x14ac:dyDescent="0.3">
      <c r="A24" s="33" t="s">
        <v>48</v>
      </c>
      <c r="B24" s="19"/>
      <c r="C24" s="40">
        <v>28</v>
      </c>
      <c r="D24" s="2"/>
      <c r="E24" s="2"/>
      <c r="F24" s="2"/>
      <c r="G24" s="40" t="s">
        <v>102</v>
      </c>
    </row>
    <row r="25" spans="1:8" ht="34.049999999999997" customHeight="1" x14ac:dyDescent="0.3">
      <c r="A25" s="13" t="s">
        <v>49</v>
      </c>
      <c r="B25" s="1" t="s">
        <v>103</v>
      </c>
      <c r="C25" s="14">
        <v>6</v>
      </c>
      <c r="D25" s="15"/>
      <c r="E25" s="16"/>
      <c r="F25" s="14">
        <f>IF(E25="Yes",C25,IF(E25="Half",C25/2,0))</f>
        <v>0</v>
      </c>
      <c r="G25" s="11"/>
      <c r="H25" s="12">
        <f>IF(E25="Yes",0,IF(E25="Half",C25/2,C25)+(1000-ROW())/100000)</f>
        <v>6.0097500000000004</v>
      </c>
    </row>
    <row r="26" spans="1:8" ht="34.049999999999997" customHeight="1" x14ac:dyDescent="0.3">
      <c r="A26" s="13" t="s">
        <v>50</v>
      </c>
      <c r="B26" s="1" t="s">
        <v>104</v>
      </c>
      <c r="C26" s="14">
        <v>6</v>
      </c>
      <c r="D26" s="15"/>
      <c r="E26" s="16"/>
      <c r="F26" s="14">
        <f>IF(E26="Yes",C26,IF(E26="Half",C26/2,0))</f>
        <v>0</v>
      </c>
      <c r="G26" s="11"/>
      <c r="H26" s="12">
        <f>IF(E26="Yes",0,IF(E26="Half",C26/2,C26)+(1000-ROW())/100000)</f>
        <v>6.0097399999999999</v>
      </c>
    </row>
    <row r="27" spans="1:8" ht="34.049999999999997" customHeight="1" x14ac:dyDescent="0.3">
      <c r="A27" s="13" t="s">
        <v>51</v>
      </c>
      <c r="B27" s="1" t="s">
        <v>105</v>
      </c>
      <c r="C27" s="14">
        <v>5</v>
      </c>
      <c r="D27" s="15"/>
      <c r="E27" s="16"/>
      <c r="F27" s="14">
        <f>IF(E27="Yes",C27,IF(E27="Half",C27/2,0))</f>
        <v>0</v>
      </c>
      <c r="G27" s="11"/>
      <c r="H27" s="12">
        <f>IF(E27="Yes",0,IF(E27="Half",C27/2,C27)+(1000-ROW())/100000)</f>
        <v>5.0097300000000002</v>
      </c>
    </row>
    <row r="28" spans="1:8" ht="64.05" customHeight="1" x14ac:dyDescent="0.3">
      <c r="A28" s="13" t="s">
        <v>52</v>
      </c>
      <c r="B28" s="1" t="s">
        <v>106</v>
      </c>
      <c r="C28" s="14">
        <v>5</v>
      </c>
      <c r="D28" s="15"/>
      <c r="E28" s="16"/>
      <c r="F28" s="14">
        <f>IF(E28="Yes",C28,IF(E28="Half",C28/2,0))</f>
        <v>0</v>
      </c>
      <c r="G28" s="11"/>
      <c r="H28" s="12">
        <f>IF(E28="Yes",0,IF(E28="Half",C28/2,C28)+(1000-ROW())/100000)</f>
        <v>5.0097199999999997</v>
      </c>
    </row>
    <row r="29" spans="1:8" ht="34.049999999999997" customHeight="1" x14ac:dyDescent="0.3">
      <c r="A29" s="13" t="s">
        <v>107</v>
      </c>
      <c r="B29" s="1" t="s">
        <v>108</v>
      </c>
      <c r="C29" s="14">
        <v>6</v>
      </c>
      <c r="D29" s="15" t="s">
        <v>77</v>
      </c>
      <c r="E29" s="16"/>
      <c r="F29" s="14">
        <f>IF(E29="Yes",C29,IF(E29="Half",C29/2,0))</f>
        <v>0</v>
      </c>
      <c r="G29" s="11"/>
      <c r="H29" s="12">
        <f>IF(E29="Yes",0,IF(E29="Half",C29/2,C29)+(1000-ROW())/100000)</f>
        <v>6.0097100000000001</v>
      </c>
    </row>
    <row r="30" spans="1:8" x14ac:dyDescent="0.3">
      <c r="A30" s="33" t="s">
        <v>54</v>
      </c>
      <c r="B30" s="19"/>
      <c r="C30" s="40">
        <v>16</v>
      </c>
      <c r="D30" s="2"/>
      <c r="E30" s="2"/>
      <c r="F30" s="2"/>
      <c r="G30" s="40" t="s">
        <v>109</v>
      </c>
    </row>
    <row r="31" spans="1:8" ht="34.049999999999997" customHeight="1" x14ac:dyDescent="0.3">
      <c r="A31" s="13" t="s">
        <v>110</v>
      </c>
      <c r="B31" s="1" t="s">
        <v>111</v>
      </c>
      <c r="C31" s="14">
        <v>6</v>
      </c>
      <c r="D31" s="15" t="s">
        <v>77</v>
      </c>
      <c r="E31" s="16"/>
      <c r="F31" s="14">
        <f>IF(E31="Yes",C31,IF(E31="Half",C31/2,0))</f>
        <v>0</v>
      </c>
      <c r="G31" s="11"/>
      <c r="H31" s="12">
        <f>IF(E31="Yes",0,IF(E31="Half",C31/2,C31)+(1000-ROW())/100000)</f>
        <v>6.00969</v>
      </c>
    </row>
    <row r="32" spans="1:8" ht="34.049999999999997" customHeight="1" x14ac:dyDescent="0.3">
      <c r="A32" s="13" t="s">
        <v>56</v>
      </c>
      <c r="B32" s="1" t="s">
        <v>112</v>
      </c>
      <c r="C32" s="14">
        <v>5</v>
      </c>
      <c r="D32" s="15"/>
      <c r="E32" s="16"/>
      <c r="F32" s="14">
        <f>IF(E32="Yes",C32,IF(E32="Half",C32/2,0))</f>
        <v>0</v>
      </c>
      <c r="G32" s="11"/>
      <c r="H32" s="12">
        <f>IF(E32="Yes",0,IF(E32="Half",C32/2,C32)+(1000-ROW())/100000)</f>
        <v>5.0096800000000004</v>
      </c>
    </row>
    <row r="33" spans="1:8" ht="34.049999999999997" customHeight="1" x14ac:dyDescent="0.3">
      <c r="A33" s="13" t="s">
        <v>113</v>
      </c>
      <c r="B33" s="1" t="s">
        <v>114</v>
      </c>
      <c r="C33" s="14">
        <v>5</v>
      </c>
      <c r="D33" s="15" t="s">
        <v>77</v>
      </c>
      <c r="E33" s="16"/>
      <c r="F33" s="14">
        <f>IF(E33="Yes",C33,IF(E33="Half",C33/2,0))</f>
        <v>0</v>
      </c>
      <c r="G33" s="11"/>
      <c r="H33" s="12">
        <f>IF(E33="Yes",0,IF(E33="Half",C33/2,C33)+(1000-ROW())/100000)</f>
        <v>5.0096699999999998</v>
      </c>
    </row>
    <row r="34" spans="1:8" x14ac:dyDescent="0.3">
      <c r="A34" s="33" t="s">
        <v>58</v>
      </c>
      <c r="B34" s="19"/>
      <c r="C34" s="40">
        <v>16</v>
      </c>
      <c r="D34" s="2"/>
      <c r="E34" s="2"/>
      <c r="F34" s="2"/>
      <c r="G34" s="40" t="s">
        <v>115</v>
      </c>
    </row>
    <row r="35" spans="1:8" ht="34.049999999999997" customHeight="1" x14ac:dyDescent="0.3">
      <c r="A35" s="13" t="s">
        <v>59</v>
      </c>
      <c r="B35" s="1" t="s">
        <v>116</v>
      </c>
      <c r="C35" s="14">
        <v>4</v>
      </c>
      <c r="D35" s="15"/>
      <c r="E35" s="16"/>
      <c r="F35" s="14">
        <f>IF(E35="Yes",C35,IF(E35="Half",C35/2,0))</f>
        <v>0</v>
      </c>
      <c r="G35" s="11"/>
      <c r="H35" s="12">
        <f>IF(E35="Yes",0,IF(E35="Half",C35/2,C35)+(1000-ROW())/100000)</f>
        <v>4.0096499999999997</v>
      </c>
    </row>
    <row r="36" spans="1:8" ht="34.049999999999997" customHeight="1" x14ac:dyDescent="0.3">
      <c r="A36" s="13" t="s">
        <v>117</v>
      </c>
      <c r="B36" s="1" t="s">
        <v>118</v>
      </c>
      <c r="C36" s="14">
        <v>4</v>
      </c>
      <c r="D36" s="15" t="s">
        <v>77</v>
      </c>
      <c r="E36" s="16"/>
      <c r="F36" s="14">
        <f>IF(E36="Yes",C36,IF(E36="Half",C36/2,0))</f>
        <v>0</v>
      </c>
      <c r="G36" s="11"/>
      <c r="H36" s="12">
        <f>IF(E36="Yes",0,IF(E36="Half",C36/2,C36)+(1000-ROW())/100000)</f>
        <v>4.0096400000000001</v>
      </c>
    </row>
    <row r="37" spans="1:8" ht="34.049999999999997" customHeight="1" x14ac:dyDescent="0.3">
      <c r="A37" s="13" t="s">
        <v>119</v>
      </c>
      <c r="B37" s="1" t="s">
        <v>120</v>
      </c>
      <c r="C37" s="14">
        <v>4</v>
      </c>
      <c r="D37" s="15" t="s">
        <v>77</v>
      </c>
      <c r="E37" s="16"/>
      <c r="F37" s="14">
        <f>IF(E37="Yes",C37,IF(E37="Half",C37/2,0))</f>
        <v>0</v>
      </c>
      <c r="G37" s="11"/>
      <c r="H37" s="12">
        <f>IF(E37="Yes",0,IF(E37="Half",C37/2,C37)+(1000-ROW())/100000)</f>
        <v>4.0096299999999996</v>
      </c>
    </row>
    <row r="38" spans="1:8" ht="49.05" customHeight="1" x14ac:dyDescent="0.3">
      <c r="A38" s="13" t="s">
        <v>121</v>
      </c>
      <c r="B38" s="1" t="s">
        <v>122</v>
      </c>
      <c r="C38" s="14">
        <v>4</v>
      </c>
      <c r="D38" s="15" t="s">
        <v>77</v>
      </c>
      <c r="E38" s="16"/>
      <c r="F38" s="14">
        <f>IF(E38="Yes",C38,IF(E38="Half",C38/2,0))</f>
        <v>0</v>
      </c>
      <c r="G38" s="11"/>
      <c r="H38" s="12">
        <f>IF(E38="Yes",0,IF(E38="Half",C38/2,C38)+(1000-ROW())/100000)</f>
        <v>4.00962</v>
      </c>
    </row>
    <row r="39" spans="1:8" x14ac:dyDescent="0.3">
      <c r="A39" s="33" t="s">
        <v>63</v>
      </c>
      <c r="B39" s="19"/>
      <c r="C39" s="40">
        <v>6</v>
      </c>
      <c r="D39" s="2"/>
      <c r="E39" s="2"/>
      <c r="F39" s="2"/>
      <c r="G39" s="40" t="s">
        <v>123</v>
      </c>
    </row>
    <row r="40" spans="1:8" ht="49.05" customHeight="1" x14ac:dyDescent="0.3">
      <c r="A40" s="13" t="s">
        <v>64</v>
      </c>
      <c r="B40" s="1" t="s">
        <v>124</v>
      </c>
      <c r="C40" s="14">
        <v>3</v>
      </c>
      <c r="D40" s="15"/>
      <c r="E40" s="16"/>
      <c r="F40" s="14">
        <f>IF(E40="Yes",C40,IF(E40="Half",C40/2,0))</f>
        <v>0</v>
      </c>
      <c r="G40" s="11"/>
      <c r="H40" s="12">
        <f>IF(E40="Yes",0,IF(E40="Half",C40/2,C40)+(1000-ROW())/100000)</f>
        <v>3.0095999999999998</v>
      </c>
    </row>
    <row r="41" spans="1:8" ht="49.05" customHeight="1" x14ac:dyDescent="0.3">
      <c r="A41" s="13" t="s">
        <v>65</v>
      </c>
      <c r="B41" s="1" t="s">
        <v>125</v>
      </c>
      <c r="C41" s="14">
        <v>3</v>
      </c>
      <c r="D41" s="15"/>
      <c r="E41" s="16"/>
      <c r="F41" s="14">
        <f>IF(E41="Yes",C41,IF(E41="Half",C41/2,0))</f>
        <v>0</v>
      </c>
      <c r="G41" s="11"/>
      <c r="H41" s="12">
        <f>IF(E41="Yes",0,IF(E41="Half",C41/2,C41)+(1000-ROW())/100000)</f>
        <v>3.0095900000000002</v>
      </c>
    </row>
    <row r="43" spans="1:8" x14ac:dyDescent="0.3">
      <c r="A43" s="31" t="s">
        <v>126</v>
      </c>
      <c r="B43" s="19"/>
      <c r="C43" s="30" t="str">
        <f>IF(OR(E4="",E5="",E6=""),"Fill length, same-day and audible",IF(AND(E4&gt;=5,E4&lt;=15,E5="Yes",E6="Yes"),"YES","NO — not accepted"))</f>
        <v>Fill length, same-day and audible</v>
      </c>
      <c r="D43" s="18"/>
      <c r="E43" s="18"/>
      <c r="F43" s="18"/>
      <c r="G43" s="19"/>
    </row>
    <row r="44" spans="1:8" x14ac:dyDescent="0.3">
      <c r="A44" s="31" t="s">
        <v>127</v>
      </c>
      <c r="B44" s="19"/>
      <c r="C44" s="30">
        <v>100</v>
      </c>
      <c r="D44" s="18"/>
      <c r="E44" s="18"/>
      <c r="F44" s="18"/>
      <c r="G44" s="19"/>
    </row>
    <row r="45" spans="1:8" x14ac:dyDescent="0.3">
      <c r="A45" s="31" t="s">
        <v>128</v>
      </c>
      <c r="B45" s="19"/>
      <c r="C45" s="30">
        <f>SUM(F11:F41)</f>
        <v>0</v>
      </c>
      <c r="D45" s="18"/>
      <c r="E45" s="18"/>
      <c r="F45" s="18"/>
      <c r="G45" s="19"/>
    </row>
    <row r="46" spans="1:8" ht="18" customHeight="1" x14ac:dyDescent="0.3">
      <c r="A46" s="31" t="s">
        <v>129</v>
      </c>
      <c r="B46" s="19"/>
      <c r="C46" s="37">
        <f>ROUND(C45/C44*100,0)</f>
        <v>0</v>
      </c>
      <c r="D46" s="18"/>
      <c r="E46" s="18"/>
      <c r="F46" s="18"/>
      <c r="G46" s="19"/>
    </row>
    <row r="47" spans="1:8" x14ac:dyDescent="0.3">
      <c r="A47" s="31" t="s">
        <v>130</v>
      </c>
      <c r="B47" s="19"/>
      <c r="C47" s="30">
        <f>IF(E11&lt;&gt;"Yes",1,0)+IF(E12&lt;&gt;"Yes",1,0)+IF(E17&lt;&gt;"Yes",1,0)+IF(E18&lt;&gt;"Yes",1,0)+IF(E20&lt;&gt;"Yes",1,0)+IF(E21&lt;&gt;"Yes",1,0)+IF(E29&lt;&gt;"Yes",1,0)+IF(E31&lt;&gt;"Yes",1,0)+IF(E33&lt;&gt;"Yes",1,0)+IF(E36&lt;&gt;"Yes",1,0)+IF(E37&lt;&gt;"Yes",1,0)+IF(E38&lt;&gt;"Yes",1,0)</f>
        <v>12</v>
      </c>
      <c r="D47" s="18"/>
      <c r="E47" s="18"/>
      <c r="F47" s="18"/>
      <c r="G47" s="19"/>
    </row>
    <row r="48" spans="1:8" x14ac:dyDescent="0.3">
      <c r="A48" s="31" t="s">
        <v>131</v>
      </c>
      <c r="B48" s="19"/>
      <c r="C48" s="30" t="str">
        <f>IF(C47=0,"None",_xlfn.TEXTJOIN(", ",TRUE(),IF(E11&lt;&gt;"Yes",A11,""),IF(E12&lt;&gt;"Yes",A12,""),IF(E17&lt;&gt;"Yes",A17,""),IF(E18&lt;&gt;"Yes",A18,""),IF(E20&lt;&gt;"Yes",A20,""),IF(E21&lt;&gt;"Yes",A21,""),IF(E29&lt;&gt;"Yes",A29,""),IF(E31&lt;&gt;"Yes",A31,""),IF(E33&lt;&gt;"Yes",A33,""),IF(E36&lt;&gt;"Yes",A36,""),IF(E37&lt;&gt;"Yes",A37,""),IF(E38&lt;&gt;"Yes",A38,"")))</f>
        <v>A1, A2, B2, B3, C1, C2, D5, E1, E3, F2, F3, F4</v>
      </c>
      <c r="D48" s="18"/>
      <c r="E48" s="18"/>
      <c r="F48" s="18"/>
      <c r="G48" s="19"/>
    </row>
    <row r="49" spans="1:7" ht="31.8" customHeight="1" x14ac:dyDescent="0.3">
      <c r="A49" s="31" t="s">
        <v>8</v>
      </c>
      <c r="B49" s="19"/>
      <c r="C49" s="32" t="str">
        <f>IF(C43&lt;&gt;"YES","NOT ACCEPTED — recording under 5 min / over 15 min / not uploaded same day / not audible. Call again.",IF(C47&gt;0,"NOT ACCEPTED — MUST item(s) missed: "&amp;C48&amp;". Call the customer again for the missed points.",IF(C46&gt;=90,"EXCELLENT — accepted. Score "&amp;C46&amp;"/100.",IF(C46&gt;=75,"ACCEPTED — Score "&amp;C46&amp;"/100. See My Result for what to do better.","NOT ACCEPTED — Score "&amp;C46&amp;"/100 is below 75. Call the customer again for the missed points."))))</f>
        <v>NOT ACCEPTED — recording under 5 min / over 15 min / not uploaded same day / not audible. Call again.</v>
      </c>
      <c r="D49" s="18"/>
      <c r="E49" s="18"/>
      <c r="F49" s="18"/>
      <c r="G49" s="19"/>
    </row>
  </sheetData>
  <mergeCells count="31">
    <mergeCell ref="A1:G1"/>
    <mergeCell ref="C43:G43"/>
    <mergeCell ref="C46:G46"/>
    <mergeCell ref="A47:B47"/>
    <mergeCell ref="C48:G48"/>
    <mergeCell ref="C7:D7"/>
    <mergeCell ref="A43:B43"/>
    <mergeCell ref="E5:G5"/>
    <mergeCell ref="A19:B19"/>
    <mergeCell ref="A10:B10"/>
    <mergeCell ref="A2:G2"/>
    <mergeCell ref="A44:B44"/>
    <mergeCell ref="E4:G4"/>
    <mergeCell ref="A39:B39"/>
    <mergeCell ref="A34:B34"/>
    <mergeCell ref="C5:D5"/>
    <mergeCell ref="A45:B45"/>
    <mergeCell ref="C45:G45"/>
    <mergeCell ref="E6:G6"/>
    <mergeCell ref="C4:D4"/>
    <mergeCell ref="C44:G44"/>
    <mergeCell ref="E7:G7"/>
    <mergeCell ref="A48:B48"/>
    <mergeCell ref="C49:G49"/>
    <mergeCell ref="A30:B30"/>
    <mergeCell ref="A24:B24"/>
    <mergeCell ref="C6:D6"/>
    <mergeCell ref="A15:B15"/>
    <mergeCell ref="A49:B49"/>
    <mergeCell ref="C47:G47"/>
    <mergeCell ref="A46:B46"/>
  </mergeCells>
  <conditionalFormatting sqref="C49">
    <cfRule type="expression" dxfId="11" priority="2">
      <formula>LEFT(C49,3)="NOT"</formula>
    </cfRule>
    <cfRule type="expression" dxfId="10" priority="3">
      <formula>LEFT(C49,3)&lt;&gt;"NOT"</formula>
    </cfRule>
  </conditionalFormatting>
  <conditionalFormatting sqref="E11:E41">
    <cfRule type="cellIs" dxfId="9" priority="4" operator="equal">
      <formula>"No"</formula>
    </cfRule>
    <cfRule type="cellIs" dxfId="8" priority="5" operator="equal">
      <formula>"Half"</formula>
    </cfRule>
    <cfRule type="cellIs" dxfId="7" priority="6" operator="equal">
      <formula>"Yes"</formula>
    </cfRule>
  </conditionalFormatting>
  <dataValidations count="2">
    <dataValidation type="list" allowBlank="1" sqref="E5:E6" xr:uid="{00000000-0002-0000-0000-000000000000}">
      <formula1>"Yes,No"</formula1>
      <formula2>0</formula2>
    </dataValidation>
    <dataValidation type="list" allowBlank="1" sqref="E11:E14 E16:E18 E20:E23 E25:E29 E31:E33 E35:E38 E40:E41" xr:uid="{00000000-0002-0000-0000-000001000000}">
      <formula1>"Yes,Half,No"</formula1>
      <formula2>0</formula2>
    </dataValidation>
  </dataValidation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pageSetUpPr fitToPage="1"/>
  </sheetPr>
  <dimension ref="A1:F63"/>
  <sheetViews>
    <sheetView tabSelected="1" topLeftCell="A28" zoomScaleNormal="100" workbookViewId="0">
      <selection activeCell="B42" sqref="B42"/>
    </sheetView>
  </sheetViews>
  <sheetFormatPr defaultColWidth="8.6640625" defaultRowHeight="14.4" x14ac:dyDescent="0.3"/>
  <cols>
    <col min="1" max="1" width="7" customWidth="1"/>
    <col min="2" max="2" width="70" customWidth="1"/>
    <col min="3" max="4" width="9" customWidth="1"/>
    <col min="5" max="5" width="12" customWidth="1"/>
    <col min="6" max="6" width="47.88671875" customWidth="1"/>
  </cols>
  <sheetData>
    <row r="1" spans="1:6" ht="25.5" customHeight="1" x14ac:dyDescent="0.3">
      <c r="A1" s="29" t="s">
        <v>0</v>
      </c>
      <c r="B1" s="24"/>
      <c r="C1" s="24"/>
      <c r="D1" s="24"/>
      <c r="E1" s="24"/>
      <c r="F1" s="24"/>
    </row>
    <row r="2" spans="1:6" ht="24" customHeight="1" x14ac:dyDescent="0.3">
      <c r="A2" s="23" t="s">
        <v>1</v>
      </c>
      <c r="B2" s="24"/>
      <c r="C2" s="24"/>
      <c r="D2" s="24"/>
      <c r="E2" s="24"/>
      <c r="F2" s="24"/>
    </row>
    <row r="4" spans="1:6" ht="15" customHeight="1" x14ac:dyDescent="0.3">
      <c r="A4" s="25" t="s">
        <v>2</v>
      </c>
      <c r="B4" s="19"/>
      <c r="C4" s="21">
        <f>Scorecard!B6</f>
        <v>0</v>
      </c>
      <c r="D4" s="18"/>
      <c r="E4" s="18"/>
      <c r="F4" s="19"/>
    </row>
    <row r="5" spans="1:6" ht="15" customHeight="1" x14ac:dyDescent="0.3">
      <c r="A5" s="25" t="s">
        <v>3</v>
      </c>
      <c r="B5" s="19"/>
      <c r="C5" s="21">
        <f>Scorecard!B5</f>
        <v>0</v>
      </c>
      <c r="D5" s="18"/>
      <c r="E5" s="18"/>
      <c r="F5" s="19"/>
    </row>
    <row r="6" spans="1:6" ht="15" customHeight="1" x14ac:dyDescent="0.3">
      <c r="A6" s="25" t="s">
        <v>4</v>
      </c>
      <c r="B6" s="19"/>
      <c r="C6" s="21">
        <f>Scorecard!B4</f>
        <v>0</v>
      </c>
      <c r="D6" s="18"/>
      <c r="E6" s="18"/>
      <c r="F6" s="19"/>
    </row>
    <row r="7" spans="1:6" ht="15" customHeight="1" x14ac:dyDescent="0.3">
      <c r="A7" s="25" t="s">
        <v>5</v>
      </c>
      <c r="B7" s="19"/>
      <c r="C7" s="21">
        <f>Scorecard!B7</f>
        <v>0</v>
      </c>
      <c r="D7" s="18"/>
      <c r="E7" s="18"/>
      <c r="F7" s="19"/>
    </row>
    <row r="8" spans="1:6" ht="15" customHeight="1" x14ac:dyDescent="0.3">
      <c r="A8" s="25" t="s">
        <v>6</v>
      </c>
      <c r="B8" s="19"/>
      <c r="C8" s="17">
        <f>Scorecard!E4</f>
        <v>0</v>
      </c>
      <c r="D8" s="18"/>
      <c r="E8" s="18"/>
      <c r="F8" s="19"/>
    </row>
    <row r="10" spans="1:6" ht="33.75" customHeight="1" x14ac:dyDescent="0.3">
      <c r="A10" s="20" t="s">
        <v>7</v>
      </c>
      <c r="B10" s="19"/>
      <c r="C10" s="28" t="str">
        <f>Scorecard!C46&amp;" / 100"</f>
        <v>0 / 100</v>
      </c>
      <c r="D10" s="18"/>
      <c r="E10" s="18"/>
      <c r="F10" s="19"/>
    </row>
    <row r="11" spans="1:6" ht="39.75" customHeight="1" x14ac:dyDescent="0.3">
      <c r="A11" s="20" t="s">
        <v>8</v>
      </c>
      <c r="B11" s="19"/>
      <c r="C11" s="30" t="str">
        <f>Scorecard!C49</f>
        <v>NOT ACCEPTED — recording under 5 min / over 15 min / not uploaded same day / not audible. Call again.</v>
      </c>
      <c r="D11" s="18"/>
      <c r="E11" s="18"/>
      <c r="F11" s="19"/>
    </row>
    <row r="12" spans="1:6" ht="15" customHeight="1" x14ac:dyDescent="0.3">
      <c r="A12" s="23" t="s">
        <v>9</v>
      </c>
      <c r="B12" s="24"/>
      <c r="C12" s="24"/>
      <c r="D12" s="24"/>
      <c r="E12" s="24"/>
      <c r="F12" s="24"/>
    </row>
    <row r="14" spans="1:6" x14ac:dyDescent="0.3">
      <c r="A14" s="3"/>
      <c r="B14" s="3" t="s">
        <v>10</v>
      </c>
      <c r="C14" s="3" t="s">
        <v>11</v>
      </c>
      <c r="D14" s="3" t="s">
        <v>12</v>
      </c>
      <c r="E14" s="3" t="s">
        <v>13</v>
      </c>
      <c r="F14" s="3" t="s">
        <v>14</v>
      </c>
    </row>
    <row r="15" spans="1:6" x14ac:dyDescent="0.3">
      <c r="A15" s="4" t="s">
        <v>15</v>
      </c>
      <c r="B15" s="5" t="s">
        <v>16</v>
      </c>
      <c r="C15" s="6">
        <v>10</v>
      </c>
      <c r="D15" s="6">
        <f>SUM(Scorecard!F11:F14)</f>
        <v>0</v>
      </c>
      <c r="E15" s="6" t="str">
        <f t="shared" ref="E15:E21" si="0">ROUND(D15/C15*100,0)&amp;"%"</f>
        <v>0%</v>
      </c>
      <c r="F15" s="5" t="str">
        <f t="shared" ref="F15:F21" si="1">IF(D15=C15,"Fully covered",IF(D15&gt;=C15*0.75,"Good — small gaps",IF(D15&gt;=C15*0.5,"Weak — see items below","Mostly missed — see items below")))</f>
        <v>Mostly missed — see items below</v>
      </c>
    </row>
    <row r="16" spans="1:6" x14ac:dyDescent="0.3">
      <c r="A16" s="4" t="s">
        <v>17</v>
      </c>
      <c r="B16" s="5" t="s">
        <v>18</v>
      </c>
      <c r="C16" s="6">
        <v>12</v>
      </c>
      <c r="D16" s="6">
        <f>SUM(Scorecard!F16:F18)</f>
        <v>0</v>
      </c>
      <c r="E16" s="6" t="str">
        <f t="shared" si="0"/>
        <v>0%</v>
      </c>
      <c r="F16" s="5" t="str">
        <f t="shared" si="1"/>
        <v>Mostly missed — see items below</v>
      </c>
    </row>
    <row r="17" spans="1:6" x14ac:dyDescent="0.3">
      <c r="A17" s="4" t="s">
        <v>19</v>
      </c>
      <c r="B17" s="5" t="s">
        <v>20</v>
      </c>
      <c r="C17" s="6">
        <v>12</v>
      </c>
      <c r="D17" s="6">
        <f>SUM(Scorecard!F20:F23)</f>
        <v>0</v>
      </c>
      <c r="E17" s="6" t="str">
        <f t="shared" si="0"/>
        <v>0%</v>
      </c>
      <c r="F17" s="5" t="str">
        <f t="shared" si="1"/>
        <v>Mostly missed — see items below</v>
      </c>
    </row>
    <row r="18" spans="1:6" x14ac:dyDescent="0.3">
      <c r="A18" s="4" t="s">
        <v>21</v>
      </c>
      <c r="B18" s="5" t="s">
        <v>22</v>
      </c>
      <c r="C18" s="6">
        <v>28</v>
      </c>
      <c r="D18" s="6">
        <f>SUM(Scorecard!F25:F29)</f>
        <v>0</v>
      </c>
      <c r="E18" s="6" t="str">
        <f t="shared" si="0"/>
        <v>0%</v>
      </c>
      <c r="F18" s="5" t="str">
        <f t="shared" si="1"/>
        <v>Mostly missed — see items below</v>
      </c>
    </row>
    <row r="19" spans="1:6" x14ac:dyDescent="0.3">
      <c r="A19" s="4" t="s">
        <v>23</v>
      </c>
      <c r="B19" s="5" t="s">
        <v>24</v>
      </c>
      <c r="C19" s="6">
        <v>16</v>
      </c>
      <c r="D19" s="6">
        <f>SUM(Scorecard!F31:F33)</f>
        <v>0</v>
      </c>
      <c r="E19" s="6" t="str">
        <f t="shared" si="0"/>
        <v>0%</v>
      </c>
      <c r="F19" s="5" t="str">
        <f t="shared" si="1"/>
        <v>Mostly missed — see items below</v>
      </c>
    </row>
    <row r="20" spans="1:6" x14ac:dyDescent="0.3">
      <c r="A20" s="4" t="s">
        <v>25</v>
      </c>
      <c r="B20" s="5" t="s">
        <v>26</v>
      </c>
      <c r="C20" s="6">
        <v>16</v>
      </c>
      <c r="D20" s="6">
        <f>SUM(Scorecard!F35:F38)</f>
        <v>0</v>
      </c>
      <c r="E20" s="6" t="str">
        <f t="shared" si="0"/>
        <v>0%</v>
      </c>
      <c r="F20" s="5" t="str">
        <f t="shared" si="1"/>
        <v>Mostly missed — see items below</v>
      </c>
    </row>
    <row r="21" spans="1:6" x14ac:dyDescent="0.3">
      <c r="A21" s="4" t="s">
        <v>27</v>
      </c>
      <c r="B21" s="5" t="s">
        <v>28</v>
      </c>
      <c r="C21" s="6">
        <v>6</v>
      </c>
      <c r="D21" s="6">
        <f>SUM(Scorecard!F40:F41)</f>
        <v>0</v>
      </c>
      <c r="E21" s="6" t="str">
        <f t="shared" si="0"/>
        <v>0%</v>
      </c>
      <c r="F21" s="5" t="str">
        <f t="shared" si="1"/>
        <v>Mostly missed — see items below</v>
      </c>
    </row>
    <row r="23" spans="1:6" ht="19.5" customHeight="1" x14ac:dyDescent="0.3">
      <c r="A23" s="26" t="s">
        <v>29</v>
      </c>
      <c r="B23" s="18"/>
      <c r="C23" s="18"/>
      <c r="D23" s="18"/>
      <c r="E23" s="18"/>
      <c r="F23" s="18"/>
    </row>
    <row r="24" spans="1:6" ht="43.5" customHeight="1" x14ac:dyDescent="0.3">
      <c r="A24" s="4">
        <v>1</v>
      </c>
      <c r="B24" s="22" t="str">
        <f>IF(LARGE(Scorecard!$H$11:$H$41,1)&lt;0.5,"—",INDEX(Scorecard!$A$11:$A$41,MATCH(LARGE(Scorecard!$H$11:$H$41,1),Scorecard!$H$11:$H$41,0))&amp;" — "&amp;INDEX(Scorecard!$B$11:$B$41,MATCH(LARGE(Scorecard!$H$11:$H$41,1),Scorecard!$H$11:$H$41,0)))</f>
        <v>C4 — FRESH or BT? Is this a FRESH loan requirement, or a Balance Transfer (BT) from an existing lender? Is there already a loan on this property that the customer wants us to take over and give additional (top-up) funds?</v>
      </c>
      <c r="C24" s="18"/>
      <c r="D24" s="18"/>
      <c r="E24" s="19"/>
      <c r="F24" s="8" t="str">
        <f>IF(LARGE(Scorecard!$H$11:$H$41,1)&lt;0.5,"","Points lost: "&amp;ROUND(LARGE(Scorecard!$H$11:$H$41,1),1))</f>
        <v>Points lost: 6</v>
      </c>
    </row>
    <row r="25" spans="1:6" ht="43.5" customHeight="1" x14ac:dyDescent="0.3">
      <c r="A25" s="4">
        <v>2</v>
      </c>
      <c r="B25" s="22" t="str">
        <f>IF(LARGE(Scorecard!$H$11:$H$41,2)&lt;0.5,"—",INDEX(Scorecard!$A$11:$A$41,MATCH(LARGE(Scorecard!$H$11:$H$41,2),Scorecard!$H$11:$H$41,0))&amp;" — "&amp;INDEX(Scorecard!$B$11:$B$41,MATCH(LARGE(Scorecard!$H$11:$H$41,2),Scorecard!$H$11:$H$41,0)))</f>
        <v>D1 — PRIMARY BUSINESS: what, where, since when, who runs it. Average DAILY sales / income and MONTHLY income — in the customer's own figures.</v>
      </c>
      <c r="C25" s="18"/>
      <c r="D25" s="18"/>
      <c r="E25" s="19"/>
      <c r="F25" s="8" t="str">
        <f>IF(LARGE(Scorecard!$H$11:$H$41,2)&lt;0.5,"","Points lost: "&amp;ROUND(LARGE(Scorecard!$H$11:$H$41,2),1))</f>
        <v>Points lost: 6</v>
      </c>
    </row>
    <row r="26" spans="1:6" ht="43.5" customHeight="1" x14ac:dyDescent="0.3">
      <c r="A26" s="4">
        <v>3</v>
      </c>
      <c r="B26" s="22" t="str">
        <f>IF(LARGE(Scorecard!$H$11:$H$41,3)&lt;0.5,"—",INDEX(Scorecard!$A$11:$A$41,MATCH(LARGE(Scorecard!$H$11:$H$41,3),Scorecard!$H$11:$H$41,0))&amp;" — "&amp;INDEX(Scorecard!$B$11:$B$41,MATCH(LARGE(Scorecard!$H$11:$H$41,3),Scorecard!$H$11:$H$41,0)))</f>
        <v>D2 — OTHER BUSINESSES run by the borrower or co-borrowers — each one with its average daily and monthly income.</v>
      </c>
      <c r="C26" s="18"/>
      <c r="D26" s="18"/>
      <c r="E26" s="19"/>
      <c r="F26" s="8" t="str">
        <f>IF(LARGE(Scorecard!$H$11:$H$41,3)&lt;0.5,"","Points lost: "&amp;ROUND(LARGE(Scorecard!$H$11:$H$41,3),1))</f>
        <v>Points lost: 6</v>
      </c>
    </row>
    <row r="28" spans="1:6" x14ac:dyDescent="0.3">
      <c r="A28" s="3" t="s">
        <v>30</v>
      </c>
      <c r="B28" s="3" t="s">
        <v>31</v>
      </c>
      <c r="C28" s="3" t="s">
        <v>11</v>
      </c>
      <c r="D28" s="3" t="s">
        <v>12</v>
      </c>
      <c r="E28" s="3" t="s">
        <v>32</v>
      </c>
      <c r="F28" s="3" t="s">
        <v>33</v>
      </c>
    </row>
    <row r="29" spans="1:6" ht="15" customHeight="1" x14ac:dyDescent="0.3">
      <c r="A29" s="27" t="s">
        <v>34</v>
      </c>
      <c r="B29" s="18"/>
      <c r="C29" s="18"/>
      <c r="D29" s="18"/>
      <c r="E29" s="18"/>
      <c r="F29" s="19"/>
    </row>
    <row r="30" spans="1:6" ht="38.1" customHeight="1" x14ac:dyDescent="0.3">
      <c r="A30" s="7" t="s">
        <v>35</v>
      </c>
      <c r="B30" s="5" t="str">
        <f>Scorecard!B11</f>
        <v>Say at the start: "Yeh call record ho rahi hai, aapke loan verification ke liye." Then state Application ID, customer name and village/town.</v>
      </c>
      <c r="C30" s="6">
        <f>Scorecard!C11</f>
        <v>3</v>
      </c>
      <c r="D30" s="6">
        <f>Scorecard!F11</f>
        <v>0</v>
      </c>
      <c r="E30" s="4" t="str">
        <f>IF(Scorecard!E11="Yes","✔ Asked",IF(Scorecard!E11="Half","½ Half",IF(Scorecard!E11="No","✘ MISSED","?")))</f>
        <v>?</v>
      </c>
      <c r="F30" s="5" t="str">
        <f>IF(Scorecard!G11="","",Scorecard!G11)</f>
        <v/>
      </c>
    </row>
    <row r="31" spans="1:6" ht="54.9" customHeight="1" x14ac:dyDescent="0.3">
      <c r="A31" s="7" t="s">
        <v>36</v>
      </c>
      <c r="B31" s="5" t="str">
        <f>Scorecard!B12</f>
        <v>Confirm you are talking to the MAIN BORROWER himself / herself — full name, this is his own number (on video: face matches the KYC photo). Not a relative, agent or anyone else.</v>
      </c>
      <c r="C31" s="6">
        <f>Scorecard!C12</f>
        <v>3</v>
      </c>
      <c r="D31" s="6">
        <f>Scorecard!F12</f>
        <v>0</v>
      </c>
      <c r="E31" s="4" t="str">
        <f>IF(Scorecard!E12="Yes","✔ Asked",IF(Scorecard!E12="Half","½ Half",IF(Scorecard!E12="No","✘ MISSED","?")))</f>
        <v>?</v>
      </c>
      <c r="F31" s="5" t="str">
        <f>IF(Scorecard!G12="","",Scorecard!G12)</f>
        <v/>
      </c>
    </row>
    <row r="32" spans="1:6" ht="54.9" customHeight="1" x14ac:dyDescent="0.3">
      <c r="A32" s="4" t="s">
        <v>37</v>
      </c>
      <c r="B32" s="5" t="str">
        <f>Scorecard!B13</f>
        <v>Ask the customer: does he know that he has applied for a loan with PRODIGEE FINANCE LIMITED? Even if he does not say the name correctly, do NOT cut points — what matters is that the BM ASKS this on the call.</v>
      </c>
      <c r="C32" s="6">
        <f>Scorecard!C13</f>
        <v>2</v>
      </c>
      <c r="D32" s="6">
        <f>Scorecard!F13</f>
        <v>0</v>
      </c>
      <c r="E32" s="4" t="str">
        <f>IF(Scorecard!E13="Yes","✔ Asked",IF(Scorecard!E13="Half","½ Half",IF(Scorecard!E13="No","✘ MISSED","?")))</f>
        <v>?</v>
      </c>
      <c r="F32" s="5" t="str">
        <f>IF(Scorecard!G13="","",Scorecard!G13)</f>
        <v/>
      </c>
    </row>
    <row r="33" spans="1:6" ht="38.1" customHeight="1" x14ac:dyDescent="0.3">
      <c r="A33" s="4" t="s">
        <v>38</v>
      </c>
      <c r="B33" s="5" t="str">
        <f>Scorecard!B14</f>
        <v>Say that before calling you have seen the Prodigee BPS Score, the CRIF Score and the business photos of the borrower.</v>
      </c>
      <c r="C33" s="6">
        <f>Scorecard!C14</f>
        <v>2</v>
      </c>
      <c r="D33" s="6">
        <f>Scorecard!F14</f>
        <v>0</v>
      </c>
      <c r="E33" s="4" t="str">
        <f>IF(Scorecard!E14="Yes","✔ Asked",IF(Scorecard!E14="Half","½ Half",IF(Scorecard!E14="No","✘ MISSED","?")))</f>
        <v>?</v>
      </c>
      <c r="F33" s="5" t="str">
        <f>IF(Scorecard!G14="","",Scorecard!G14)</f>
        <v/>
      </c>
    </row>
    <row r="34" spans="1:6" ht="15" customHeight="1" x14ac:dyDescent="0.3">
      <c r="A34" s="27" t="s">
        <v>39</v>
      </c>
      <c r="B34" s="18"/>
      <c r="C34" s="18"/>
      <c r="D34" s="18"/>
      <c r="E34" s="18"/>
      <c r="F34" s="19"/>
    </row>
    <row r="35" spans="1:6" ht="38.1" customHeight="1" x14ac:dyDescent="0.3">
      <c r="A35" s="4" t="s">
        <v>40</v>
      </c>
      <c r="B35" s="5" t="str">
        <f>Scorecard!B16</f>
        <v>Who came to log in the file — the RM's NAME, and WHEN did he visit? Did he visit the business AND the home?</v>
      </c>
      <c r="C35" s="6">
        <f>Scorecard!C16</f>
        <v>4</v>
      </c>
      <c r="D35" s="6">
        <f>Scorecard!F16</f>
        <v>0</v>
      </c>
      <c r="E35" s="4" t="str">
        <f>IF(Scorecard!E16="Yes","✔ Asked",IF(Scorecard!E16="Half","½ Half",IF(Scorecard!E16="No","✘ MISSED","?")))</f>
        <v>?</v>
      </c>
      <c r="F35" s="5" t="str">
        <f>IF(Scorecard!G16="","",Scorecard!G16)</f>
        <v/>
      </c>
    </row>
    <row r="36" spans="1:6" ht="38.1" customHeight="1" x14ac:dyDescent="0.3">
      <c r="A36" s="4" t="s">
        <v>41</v>
      </c>
      <c r="B36" s="5" t="str">
        <f>Scorecard!B17</f>
        <v>LOGIN FEE: how much was collected, by WHOM (must be the Prodigee RM himself), and was a receipt given. Amount must match PRAGATI.</v>
      </c>
      <c r="C36" s="6">
        <f>Scorecard!C17</f>
        <v>4</v>
      </c>
      <c r="D36" s="6">
        <f>Scorecard!F17</f>
        <v>0</v>
      </c>
      <c r="E36" s="4" t="str">
        <f>IF(Scorecard!E17="Yes","✔ Asked",IF(Scorecard!E17="Half","½ Half",IF(Scorecard!E17="No","✘ MISSED","?")))</f>
        <v>?</v>
      </c>
      <c r="F36" s="5" t="str">
        <f>IF(Scorecard!G17="","",Scorecard!G17)</f>
        <v/>
      </c>
    </row>
    <row r="37" spans="1:6" ht="54.9" customHeight="1" x14ac:dyDescent="0.3">
      <c r="A37" s="4" t="s">
        <v>42</v>
      </c>
      <c r="B37" s="5" t="str">
        <f>Scorecard!B18</f>
        <v>Ask directly: any agent, broker, DSA or connector in between? Did ANYONE ask for commission, fees or money for this loan? Tell the customer: Prodigee has ZERO COMMISSION — pay nobody.</v>
      </c>
      <c r="C37" s="6">
        <f>Scorecard!C18</f>
        <v>4</v>
      </c>
      <c r="D37" s="6">
        <f>Scorecard!F18</f>
        <v>0</v>
      </c>
      <c r="E37" s="4" t="str">
        <f>IF(Scorecard!E18="Yes","✔ Asked",IF(Scorecard!E18="Half","½ Half",IF(Scorecard!E18="No","✘ MISSED","?")))</f>
        <v>?</v>
      </c>
      <c r="F37" s="5" t="str">
        <f>IF(Scorecard!G18="","",Scorecard!G18)</f>
        <v/>
      </c>
    </row>
    <row r="38" spans="1:6" ht="15" customHeight="1" x14ac:dyDescent="0.3">
      <c r="A38" s="27" t="s">
        <v>43</v>
      </c>
      <c r="B38" s="18"/>
      <c r="C38" s="18"/>
      <c r="D38" s="18"/>
      <c r="E38" s="18"/>
      <c r="F38" s="19"/>
    </row>
    <row r="39" spans="1:6" ht="38.1" customHeight="1" x14ac:dyDescent="0.3">
      <c r="A39" s="4" t="s">
        <v>44</v>
      </c>
      <c r="B39" s="5" t="str">
        <f>Scorecard!B20</f>
        <v>Customer clearly understands: this is a BUSINESS Loan Against Property — the property will be MORTGAGED to Prodigee.</v>
      </c>
      <c r="C39" s="6">
        <f>Scorecard!C20</f>
        <v>2</v>
      </c>
      <c r="D39" s="6">
        <f>Scorecard!F20</f>
        <v>0</v>
      </c>
      <c r="E39" s="4" t="str">
        <f>IF(Scorecard!E20="Yes","✔ Asked",IF(Scorecard!E20="Half","½ Half",IF(Scorecard!E20="No","✘ MISSED","?")))</f>
        <v>?</v>
      </c>
      <c r="F39" s="5" t="str">
        <f>IF(Scorecard!G20="","",Scorecard!G20)</f>
        <v/>
      </c>
    </row>
    <row r="40" spans="1:6" ht="33.6" customHeight="1" x14ac:dyDescent="0.3">
      <c r="A40" s="4" t="s">
        <v>45</v>
      </c>
      <c r="B40" s="5" t="str">
        <f>Scorecard!B21</f>
        <v>LOAN AMOUNT: check the loan amount the customer requires.</v>
      </c>
      <c r="C40" s="6">
        <f>Scorecard!C21</f>
        <v>2</v>
      </c>
      <c r="D40" s="6">
        <f>Scorecard!F21</f>
        <v>0</v>
      </c>
      <c r="E40" s="4" t="str">
        <f>IF(Scorecard!E21="Yes","✔ Asked",IF(Scorecard!E21="Half","½ Half",IF(Scorecard!E21="No","✘ MISSED","?")))</f>
        <v>?</v>
      </c>
      <c r="F40" s="5" t="str">
        <f>IF(Scorecard!G21="","",Scorecard!G21)</f>
        <v/>
      </c>
    </row>
    <row r="41" spans="1:6" ht="38.1" customHeight="1" x14ac:dyDescent="0.3">
      <c r="A41" s="4" t="s">
        <v>46</v>
      </c>
      <c r="B41" s="5" t="str">
        <f>Scorecard!B22</f>
        <v>END USE: what the money is for — how much, for what, when. Business-linked and not a restricted use.</v>
      </c>
      <c r="C41" s="6">
        <f>Scorecard!C22</f>
        <v>2</v>
      </c>
      <c r="D41" s="6">
        <f>Scorecard!F22</f>
        <v>0</v>
      </c>
      <c r="E41" s="4" t="str">
        <f>IF(Scorecard!E22="Yes","✔ Asked",IF(Scorecard!E22="Half","½ Half",IF(Scorecard!E22="No","✘ MISSED","?")))</f>
        <v>?</v>
      </c>
      <c r="F41" s="5" t="str">
        <f>IF(Scorecard!G22="","",Scorecard!G22)</f>
        <v/>
      </c>
    </row>
    <row r="42" spans="1:6" ht="54.9" customHeight="1" x14ac:dyDescent="0.3">
      <c r="A42" s="4" t="s">
        <v>47</v>
      </c>
      <c r="B42" s="5" t="str">
        <f>Scorecard!B23</f>
        <v>FRESH or BT? Is this a FRESH loan requirement, or a Balance Transfer (BT) from an existing lender? Is there already a loan on this property that the customer wants us to take over and give additional (top-up) funds?</v>
      </c>
      <c r="C42" s="6">
        <f>Scorecard!C23</f>
        <v>6</v>
      </c>
      <c r="D42" s="6">
        <f>Scorecard!F23</f>
        <v>0</v>
      </c>
      <c r="E42" s="4" t="str">
        <f>IF(Scorecard!E23="Yes","✔ Asked",IF(Scorecard!E23="Half","½ Half",IF(Scorecard!E23="No","✘ MISSED","?")))</f>
        <v>?</v>
      </c>
      <c r="F42" s="5" t="str">
        <f>IF(Scorecard!G23="","",Scorecard!G23)</f>
        <v/>
      </c>
    </row>
    <row r="43" spans="1:6" ht="15" customHeight="1" x14ac:dyDescent="0.3">
      <c r="A43" s="27" t="s">
        <v>48</v>
      </c>
      <c r="B43" s="18"/>
      <c r="C43" s="18"/>
      <c r="D43" s="18"/>
      <c r="E43" s="18"/>
      <c r="F43" s="19"/>
    </row>
    <row r="44" spans="1:6" ht="38.1" customHeight="1" x14ac:dyDescent="0.3">
      <c r="A44" s="4" t="s">
        <v>49</v>
      </c>
      <c r="B44" s="5" t="str">
        <f>Scorecard!B25</f>
        <v>PRIMARY BUSINESS: what, where, since when, who runs it. Average DAILY sales / income and MONTHLY income — in the customer's own figures.</v>
      </c>
      <c r="C44" s="6">
        <f>Scorecard!C25</f>
        <v>6</v>
      </c>
      <c r="D44" s="6">
        <f>Scorecard!F25</f>
        <v>0</v>
      </c>
      <c r="E44" s="4" t="str">
        <f>IF(Scorecard!E25="Yes","✔ Asked",IF(Scorecard!E25="Half","½ Half",IF(Scorecard!E25="No","✘ MISSED","?")))</f>
        <v>?</v>
      </c>
      <c r="F44" s="5" t="str">
        <f>IF(Scorecard!G25="","",Scorecard!G25)</f>
        <v/>
      </c>
    </row>
    <row r="45" spans="1:6" ht="38.1" customHeight="1" x14ac:dyDescent="0.3">
      <c r="A45" s="4" t="s">
        <v>50</v>
      </c>
      <c r="B45" s="5" t="str">
        <f>Scorecard!B26</f>
        <v>OTHER BUSINESSES run by the borrower or co-borrowers — each one with its average daily and monthly income.</v>
      </c>
      <c r="C45" s="6">
        <f>Scorecard!C26</f>
        <v>6</v>
      </c>
      <c r="D45" s="6">
        <f>Scorecard!F26</f>
        <v>0</v>
      </c>
      <c r="E45" s="4" t="str">
        <f>IF(Scorecard!E26="Yes","✔ Asked",IF(Scorecard!E26="Half","½ Half",IF(Scorecard!E26="No","✘ MISSED","?")))</f>
        <v>?</v>
      </c>
      <c r="F45" s="5" t="str">
        <f>IF(Scorecard!G26="","",Scorecard!G26)</f>
        <v/>
      </c>
    </row>
    <row r="46" spans="1:6" ht="38.1" customHeight="1" x14ac:dyDescent="0.3">
      <c r="A46" s="4" t="s">
        <v>51</v>
      </c>
      <c r="B46" s="5" t="str">
        <f>Scorecard!B27</f>
        <v>ADDITIONAL INCOMES: salary, rent, pension, transport, family members' earnings — source and monthly amount for each.</v>
      </c>
      <c r="C46" s="6">
        <f>Scorecard!C27</f>
        <v>5</v>
      </c>
      <c r="D46" s="6">
        <f>Scorecard!F27</f>
        <v>0</v>
      </c>
      <c r="E46" s="4" t="str">
        <f>IF(Scorecard!E27="Yes","✔ Asked",IF(Scorecard!E27="Half","½ Half",IF(Scorecard!E27="No","✘ MISSED","?")))</f>
        <v>?</v>
      </c>
      <c r="F46" s="5" t="str">
        <f>IF(Scorecard!G27="","",Scorecard!G27)</f>
        <v/>
      </c>
    </row>
    <row r="47" spans="1:6" ht="71.7" customHeight="1" x14ac:dyDescent="0.3">
      <c r="A47" s="4" t="s">
        <v>52</v>
      </c>
      <c r="B47" s="5" t="str">
        <f>Scorecard!B28</f>
        <v>AGRICULTURE &amp; DAIRY: land — acres, in whose name; crops; approximate yearly income; KCC running? Any dairy / animals — if yes, how many animals and how many litres of milk per day. If no farm land or no animals, the customer says so clearly (counts as covered).</v>
      </c>
      <c r="C47" s="6">
        <f>Scorecard!C28</f>
        <v>5</v>
      </c>
      <c r="D47" s="6">
        <f>Scorecard!F28</f>
        <v>0</v>
      </c>
      <c r="E47" s="4" t="str">
        <f>IF(Scorecard!E28="Yes","✔ Asked",IF(Scorecard!E28="Half","½ Half",IF(Scorecard!E28="No","✘ MISSED","?")))</f>
        <v>?</v>
      </c>
      <c r="F47" s="5" t="str">
        <f>IF(Scorecard!G28="","",Scorecard!G28)</f>
        <v/>
      </c>
    </row>
    <row r="48" spans="1:6" ht="38.1" customHeight="1" x14ac:dyDescent="0.3">
      <c r="A48" s="7" t="s">
        <v>53</v>
      </c>
      <c r="B48" s="5" t="str">
        <f>Scorecard!B29</f>
        <v>Ask the customer: is the income of the WHOLE HOUSEHOLD put together more than Rs. 30,000 per month (NOT counting agriculture income)? Yes / No.</v>
      </c>
      <c r="C48" s="6">
        <f>Scorecard!C29</f>
        <v>6</v>
      </c>
      <c r="D48" s="6">
        <f>Scorecard!F29</f>
        <v>0</v>
      </c>
      <c r="E48" s="4" t="str">
        <f>IF(Scorecard!E29="Yes","✔ Asked",IF(Scorecard!E29="Half","½ Half",IF(Scorecard!E29="No","✘ MISSED","?")))</f>
        <v>?</v>
      </c>
      <c r="F48" s="5" t="str">
        <f>IF(Scorecard!G29="","",Scorecard!G29)</f>
        <v/>
      </c>
    </row>
    <row r="49" spans="1:6" ht="15" customHeight="1" x14ac:dyDescent="0.3">
      <c r="A49" s="27" t="s">
        <v>54</v>
      </c>
      <c r="B49" s="18"/>
      <c r="C49" s="18"/>
      <c r="D49" s="18"/>
      <c r="E49" s="18"/>
      <c r="F49" s="19"/>
    </row>
    <row r="50" spans="1:6" ht="38.1" customHeight="1" x14ac:dyDescent="0.3">
      <c r="A50" s="7" t="s">
        <v>55</v>
      </c>
      <c r="B50" s="5" t="str">
        <f>Scorecard!B31</f>
        <v>ACTIVE LOANS: every active loan — lender, EMI, since when — checked with the customer against the BPS / CRIF. Closed loans need NOT be checked.</v>
      </c>
      <c r="C50" s="6">
        <f>Scorecard!C31</f>
        <v>6</v>
      </c>
      <c r="D50" s="6">
        <f>Scorecard!F31</f>
        <v>0</v>
      </c>
      <c r="E50" s="4" t="str">
        <f>IF(Scorecard!E31="Yes","✔ Asked",IF(Scorecard!E31="Half","½ Half",IF(Scorecard!E31="No","✘ MISSED","?")))</f>
        <v>?</v>
      </c>
      <c r="F50" s="5" t="str">
        <f>IF(Scorecard!G31="","",Scorecard!G31)</f>
        <v/>
      </c>
    </row>
    <row r="51" spans="1:6" ht="38.1" customHeight="1" x14ac:dyDescent="0.3">
      <c r="A51" s="4" t="s">
        <v>56</v>
      </c>
      <c r="B51" s="5" t="str">
        <f>Scorecard!B32</f>
        <v>OVERDUES: for every active loan overdue NOW — and any overdue in the PAST — ask the customer the reason. If there is no overdue, say so.</v>
      </c>
      <c r="C51" s="6">
        <f>Scorecard!C32</f>
        <v>5</v>
      </c>
      <c r="D51" s="6">
        <f>Scorecard!F32</f>
        <v>0</v>
      </c>
      <c r="E51" s="4" t="str">
        <f>IF(Scorecard!E32="Yes","✔ Asked",IF(Scorecard!E32="Half","½ Half",IF(Scorecard!E32="No","✘ MISSED","?")))</f>
        <v>?</v>
      </c>
      <c r="F51" s="5" t="str">
        <f>IF(Scorecard!G32="","",Scorecard!G32)</f>
        <v/>
      </c>
    </row>
    <row r="52" spans="1:6" ht="38.1" customHeight="1" x14ac:dyDescent="0.3">
      <c r="A52" s="7" t="s">
        <v>57</v>
      </c>
      <c r="B52" s="5" t="str">
        <f>Scorecard!B33</f>
        <v>APPLIED ANYWHERE ELSE? Which bank / NBFC, how much, when, and the STATUS — sanctioned / rejected / pending — and why.</v>
      </c>
      <c r="C52" s="6">
        <f>Scorecard!C33</f>
        <v>5</v>
      </c>
      <c r="D52" s="6">
        <f>Scorecard!F33</f>
        <v>0</v>
      </c>
      <c r="E52" s="4" t="str">
        <f>IF(Scorecard!E33="Yes","✔ Asked",IF(Scorecard!E33="Half","½ Half",IF(Scorecard!E33="No","✘ MISSED","?")))</f>
        <v>?</v>
      </c>
      <c r="F52" s="5" t="str">
        <f>IF(Scorecard!G33="","",Scorecard!G33)</f>
        <v/>
      </c>
    </row>
    <row r="53" spans="1:6" ht="15" customHeight="1" x14ac:dyDescent="0.3">
      <c r="A53" s="27" t="s">
        <v>58</v>
      </c>
      <c r="B53" s="18"/>
      <c r="C53" s="18"/>
      <c r="D53" s="18"/>
      <c r="E53" s="18"/>
      <c r="F53" s="19"/>
    </row>
    <row r="54" spans="1:6" ht="38.1" customHeight="1" x14ac:dyDescent="0.3">
      <c r="A54" s="4" t="s">
        <v>59</v>
      </c>
      <c r="B54" s="5" t="str">
        <f>Scorecard!B35</f>
        <v>WHICH PROPERTY will be mortgaged: house / shop / plot, where, self-occupied or rented out, approximate size.</v>
      </c>
      <c r="C54" s="6">
        <f>Scorecard!C35</f>
        <v>4</v>
      </c>
      <c r="D54" s="6">
        <f>Scorecard!F35</f>
        <v>0</v>
      </c>
      <c r="E54" s="4" t="str">
        <f>IF(Scorecard!E35="Yes","✔ Asked",IF(Scorecard!E35="Half","½ Half",IF(Scorecard!E35="No","✘ MISSED","?")))</f>
        <v>?</v>
      </c>
      <c r="F54" s="5" t="str">
        <f>IF(Scorecard!G35="","",Scorecard!G35)</f>
        <v/>
      </c>
    </row>
    <row r="55" spans="1:6" ht="38.1" customHeight="1" x14ac:dyDescent="0.3">
      <c r="A55" s="7" t="s">
        <v>60</v>
      </c>
      <c r="B55" s="5" t="str">
        <f>Scorecard!B36</f>
        <v>PROPERTY PAPERS: what type the customer will give — Registered Sale Deed / Patta / 5-pager / other; are the ORIGINALS with him?</v>
      </c>
      <c r="C55" s="6">
        <f>Scorecard!C36</f>
        <v>4</v>
      </c>
      <c r="D55" s="6">
        <f>Scorecard!F36</f>
        <v>0</v>
      </c>
      <c r="E55" s="4" t="str">
        <f>IF(Scorecard!E36="Yes","✔ Asked",IF(Scorecard!E36="Half","½ Half",IF(Scorecard!E36="No","✘ MISSED","?")))</f>
        <v>?</v>
      </c>
      <c r="F55" s="5" t="str">
        <f>IF(Scorecard!G36="","",Scorecard!G36)</f>
        <v/>
      </c>
    </row>
    <row r="56" spans="1:6" ht="38.1" customHeight="1" x14ac:dyDescent="0.3">
      <c r="A56" s="7" t="s">
        <v>61</v>
      </c>
      <c r="B56" s="5" t="str">
        <f>Scorecard!B37</f>
        <v>ALREADY MORTGAGED anywhere? Papers lying with any bank / finance company? Is he willing to mortgage it?</v>
      </c>
      <c r="C56" s="6">
        <f>Scorecard!C37</f>
        <v>4</v>
      </c>
      <c r="D56" s="6">
        <f>Scorecard!F37</f>
        <v>0</v>
      </c>
      <c r="E56" s="4" t="str">
        <f>IF(Scorecard!E37="Yes","✔ Asked",IF(Scorecard!E37="Half","½ Half",IF(Scorecard!E37="No","✘ MISSED","?")))</f>
        <v>?</v>
      </c>
      <c r="F56" s="5" t="str">
        <f>IF(Scorecard!G37="","",Scorecard!G37)</f>
        <v/>
      </c>
    </row>
    <row r="57" spans="1:6" ht="54.9" customHeight="1" x14ac:dyDescent="0.3">
      <c r="A57" s="7" t="s">
        <v>62</v>
      </c>
      <c r="B57" s="5" t="str">
        <f>Scorecard!B38</f>
        <v>OWNERS: who all are the owners of the property — will ALL of them come as CO-BORROWERS? FEMALE CO-BORROWER IS MANDATORY — wife (or mother, if unmarried): her name, and has she agreed?</v>
      </c>
      <c r="C57" s="6">
        <f>Scorecard!C38</f>
        <v>4</v>
      </c>
      <c r="D57" s="6">
        <f>Scorecard!F38</f>
        <v>0</v>
      </c>
      <c r="E57" s="4" t="str">
        <f>IF(Scorecard!E38="Yes","✔ Asked",IF(Scorecard!E38="Half","½ Half",IF(Scorecard!E38="No","✘ MISSED","?")))</f>
        <v>?</v>
      </c>
      <c r="F57" s="5" t="str">
        <f>IF(Scorecard!G38="","",Scorecard!G38)</f>
        <v/>
      </c>
    </row>
    <row r="58" spans="1:6" ht="15" customHeight="1" x14ac:dyDescent="0.3">
      <c r="A58" s="27" t="s">
        <v>63</v>
      </c>
      <c r="B58" s="18"/>
      <c r="C58" s="18"/>
      <c r="D58" s="18"/>
      <c r="E58" s="18"/>
      <c r="F58" s="19"/>
    </row>
    <row r="59" spans="1:6" ht="54.9" customHeight="1" x14ac:dyDescent="0.3">
      <c r="A59" s="4" t="s">
        <v>64</v>
      </c>
      <c r="B59" s="5" t="str">
        <f>Scorecard!B40</f>
        <v>Call 5 to 15 minutes, both sides audible end to end. Open questions — the customer speaks first; no feeding of figures; nobody prompting him in the background.</v>
      </c>
      <c r="C59" s="6">
        <f>Scorecard!C40</f>
        <v>3</v>
      </c>
      <c r="D59" s="6">
        <f>Scorecard!F40</f>
        <v>0</v>
      </c>
      <c r="E59" s="4" t="str">
        <f>IF(Scorecard!E40="Yes","✔ Asked",IF(Scorecard!E40="Half","½ Half",IF(Scorecard!E40="No","✘ MISSED","?")))</f>
        <v>?</v>
      </c>
      <c r="F59" s="5" t="str">
        <f>IF(Scorecard!G40="","",Scorecard!G40)</f>
        <v/>
      </c>
    </row>
    <row r="60" spans="1:6" ht="54.9" customHeight="1" x14ac:dyDescent="0.3">
      <c r="A60" s="4" t="s">
        <v>65</v>
      </c>
      <c r="B60" s="5" t="str">
        <f>Scorecard!B41</f>
        <v>Tell the customer the next steps: the file goes to the Credit Team; a Credit call will come; then the BCM will visit the business and the home. Clean Track Reward (last 3 EMIs waived on clean repayment). Pay nobody any commission.</v>
      </c>
      <c r="C60" s="6">
        <f>Scorecard!C41</f>
        <v>3</v>
      </c>
      <c r="D60" s="6">
        <f>Scorecard!F41</f>
        <v>0</v>
      </c>
      <c r="E60" s="4" t="str">
        <f>IF(Scorecard!E41="Yes","✔ Asked",IF(Scorecard!E41="Half","½ Half",IF(Scorecard!E41="No","✘ MISSED","?")))</f>
        <v>?</v>
      </c>
      <c r="F60" s="5" t="str">
        <f>IF(Scorecard!G41="","",Scorecard!G41)</f>
        <v/>
      </c>
    </row>
    <row r="63" spans="1:6" ht="25.5" customHeight="1" x14ac:dyDescent="0.3">
      <c r="A63" s="23" t="s">
        <v>66</v>
      </c>
      <c r="B63" s="24"/>
      <c r="C63" s="24"/>
      <c r="D63" s="24"/>
      <c r="E63" s="24"/>
      <c r="F63" s="24"/>
    </row>
  </sheetData>
  <mergeCells count="29">
    <mergeCell ref="A1:F1"/>
    <mergeCell ref="A10:B10"/>
    <mergeCell ref="C11:F11"/>
    <mergeCell ref="A53:F53"/>
    <mergeCell ref="A29:F29"/>
    <mergeCell ref="A43:F43"/>
    <mergeCell ref="A38:F38"/>
    <mergeCell ref="A63:F63"/>
    <mergeCell ref="A58:F58"/>
    <mergeCell ref="A34:F34"/>
    <mergeCell ref="A49:F49"/>
    <mergeCell ref="A6:B6"/>
    <mergeCell ref="A2:F2"/>
    <mergeCell ref="B26:E26"/>
    <mergeCell ref="A7:B7"/>
    <mergeCell ref="A23:F23"/>
    <mergeCell ref="C6:F6"/>
    <mergeCell ref="B25:E25"/>
    <mergeCell ref="C5:F5"/>
    <mergeCell ref="C4:F4"/>
    <mergeCell ref="A5:B5"/>
    <mergeCell ref="C10:F10"/>
    <mergeCell ref="A8:B8"/>
    <mergeCell ref="A4:B4"/>
    <mergeCell ref="C8:F8"/>
    <mergeCell ref="A11:B11"/>
    <mergeCell ref="C7:F7"/>
    <mergeCell ref="B24:E24"/>
    <mergeCell ref="A12:F12"/>
  </mergeCells>
  <conditionalFormatting sqref="C11">
    <cfRule type="expression" dxfId="6" priority="2">
      <formula>LEFT(C11,3)="NOT"</formula>
    </cfRule>
    <cfRule type="expression" dxfId="5" priority="3">
      <formula>LEFT(C11,3)&lt;&gt;"NOT"</formula>
    </cfRule>
  </conditionalFormatting>
  <conditionalFormatting sqref="E24:E62">
    <cfRule type="expression" dxfId="4" priority="18">
      <formula>LEFT(E24,1)="✘"</formula>
    </cfRule>
    <cfRule type="expression" dxfId="3" priority="19">
      <formula>LEFT(E24,1)="½"</formula>
    </cfRule>
    <cfRule type="expression" dxfId="2" priority="20">
      <formula>LEFT(E24,1)="✔"</formula>
    </cfRule>
  </conditionalFormatting>
  <conditionalFormatting sqref="F15:F21">
    <cfRule type="expression" dxfId="1" priority="4">
      <formula>LEFT(F15,5)="Fully"</formula>
    </cfRule>
    <cfRule type="expression" dxfId="0" priority="5">
      <formula>OR(LEFT(F15,4)="Weak",LEFT(F15,6)="Mostly")</formula>
    </cfRule>
  </conditionalFormatting>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Scorecard</vt:lpstr>
      <vt:lpstr>My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Goel</cp:lastModifiedBy>
  <cp:revision>0</cp:revision>
  <dcterms:created xsi:type="dcterms:W3CDTF">2026-09-13T08:37:50Z</dcterms:created>
  <dcterms:modified xsi:type="dcterms:W3CDTF">2026-09-28T04:29:47Z</dcterms:modified>
  <dc:language>en-US</dc:language>
</cp:coreProperties>
</file>